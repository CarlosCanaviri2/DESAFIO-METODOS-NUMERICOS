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2B9E04-EF59-4AF2-93B1-3583861EBDDC}" xr6:coauthVersionLast="47" xr6:coauthVersionMax="47" xr10:uidLastSave="{00000000-0000-0000-0000-000000000000}"/>
  <bookViews>
    <workbookView xWindow="380" yWindow="130" windowWidth="14550" windowHeight="8370" activeTab="2" xr2:uid="{00000000-000D-0000-FFFF-FFFF00000000}"/>
  </bookViews>
  <sheets>
    <sheet name="Euler" sheetId="1" r:id="rId1"/>
    <sheet name="Heun" sheetId="2" r:id="rId2"/>
    <sheet name="Exac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C10" i="3"/>
  <c r="B10" i="3"/>
  <c r="D10" i="3" s="1"/>
  <c r="D9" i="3"/>
  <c r="C9" i="3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14" i="2"/>
  <c r="B15" i="2" s="1"/>
  <c r="B16" i="2" s="1"/>
  <c r="B17" i="2" s="1"/>
  <c r="B18" i="2" s="1"/>
  <c r="B11" i="2"/>
  <c r="B12" i="2" s="1"/>
  <c r="B13" i="2" s="1"/>
  <c r="B10" i="2"/>
  <c r="E9" i="2"/>
  <c r="F9" i="2" s="1"/>
  <c r="D9" i="2"/>
  <c r="C9" i="2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10" i="1"/>
  <c r="C9" i="1"/>
  <c r="G9" i="2" l="1"/>
  <c r="D9" i="1"/>
  <c r="E9" i="1" s="1"/>
  <c r="C10" i="1" s="1"/>
  <c r="B12" i="3"/>
  <c r="D11" i="3"/>
  <c r="C11" i="3"/>
  <c r="D10" i="1" l="1"/>
  <c r="E10" i="1" s="1"/>
  <c r="C11" i="1" s="1"/>
  <c r="B13" i="3"/>
  <c r="D12" i="3"/>
  <c r="C12" i="3"/>
  <c r="C10" i="2"/>
  <c r="H9" i="2"/>
  <c r="D11" i="1" l="1"/>
  <c r="E11" i="1" s="1"/>
  <c r="C12" i="1" s="1"/>
  <c r="D10" i="2"/>
  <c r="E10" i="2"/>
  <c r="F10" i="2" s="1"/>
  <c r="G10" i="2" s="1"/>
  <c r="D13" i="3"/>
  <c r="C13" i="3"/>
  <c r="B14" i="3"/>
  <c r="C11" i="2" l="1"/>
  <c r="H10" i="2"/>
  <c r="D12" i="1"/>
  <c r="E12" i="1" s="1"/>
  <c r="C13" i="1" s="1"/>
  <c r="D14" i="3"/>
  <c r="C14" i="3"/>
  <c r="B15" i="3"/>
  <c r="D13" i="1" l="1"/>
  <c r="E13" i="1" s="1"/>
  <c r="C14" i="1" s="1"/>
  <c r="B16" i="3"/>
  <c r="D15" i="3"/>
  <c r="C15" i="3"/>
  <c r="D11" i="2"/>
  <c r="D14" i="1" l="1"/>
  <c r="E14" i="1"/>
  <c r="C15" i="1" s="1"/>
  <c r="E11" i="2"/>
  <c r="F11" i="2" s="1"/>
  <c r="G11" i="2" s="1"/>
  <c r="B17" i="3"/>
  <c r="C16" i="3"/>
  <c r="D16" i="3"/>
  <c r="H11" i="2" l="1"/>
  <c r="C12" i="2"/>
  <c r="D17" i="3"/>
  <c r="C17" i="3"/>
  <c r="B18" i="3"/>
  <c r="D15" i="1"/>
  <c r="E15" i="1" s="1"/>
  <c r="C16" i="1" s="1"/>
  <c r="D16" i="1" l="1"/>
  <c r="E16" i="1" s="1"/>
  <c r="C17" i="1" s="1"/>
  <c r="B19" i="3"/>
  <c r="D18" i="3"/>
  <c r="C18" i="3"/>
  <c r="D12" i="2"/>
  <c r="E12" i="2" s="1"/>
  <c r="F12" i="2" s="1"/>
  <c r="D17" i="1" l="1"/>
  <c r="E17" i="1" s="1"/>
  <c r="C18" i="1" s="1"/>
  <c r="G12" i="2"/>
  <c r="D19" i="3"/>
  <c r="C19" i="3"/>
  <c r="B20" i="3"/>
  <c r="D18" i="1" l="1"/>
  <c r="E18" i="1" s="1"/>
  <c r="C19" i="1" s="1"/>
  <c r="B21" i="3"/>
  <c r="D20" i="3"/>
  <c r="C20" i="3"/>
  <c r="C13" i="2"/>
  <c r="H12" i="2"/>
  <c r="D19" i="1" l="1"/>
  <c r="E19" i="1" s="1"/>
  <c r="C20" i="1" s="1"/>
  <c r="D13" i="2"/>
  <c r="D21" i="3"/>
  <c r="C21" i="3"/>
  <c r="B22" i="3"/>
  <c r="E20" i="1" l="1"/>
  <c r="C21" i="1" s="1"/>
  <c r="D20" i="1"/>
  <c r="B23" i="3"/>
  <c r="D22" i="3"/>
  <c r="C22" i="3"/>
  <c r="E13" i="2"/>
  <c r="F13" i="2" s="1"/>
  <c r="G13" i="2" s="1"/>
  <c r="H13" i="2" l="1"/>
  <c r="C14" i="2"/>
  <c r="B24" i="3"/>
  <c r="D23" i="3"/>
  <c r="C23" i="3"/>
  <c r="D21" i="1"/>
  <c r="E21" i="1" s="1"/>
  <c r="C22" i="1" s="1"/>
  <c r="D22" i="1" l="1"/>
  <c r="E22" i="1" s="1"/>
  <c r="C23" i="1" s="1"/>
  <c r="B25" i="3"/>
  <c r="D24" i="3"/>
  <c r="C24" i="3"/>
  <c r="D14" i="2"/>
  <c r="E14" i="2" s="1"/>
  <c r="F14" i="2" s="1"/>
  <c r="D23" i="1" l="1"/>
  <c r="E23" i="1" s="1"/>
  <c r="C24" i="1" s="1"/>
  <c r="G14" i="2"/>
  <c r="D25" i="3"/>
  <c r="C25" i="3"/>
  <c r="B26" i="3"/>
  <c r="D24" i="1" l="1"/>
  <c r="E24" i="1" s="1"/>
  <c r="C25" i="1" s="1"/>
  <c r="D26" i="3"/>
  <c r="C26" i="3"/>
  <c r="B27" i="3"/>
  <c r="C15" i="2"/>
  <c r="H14" i="2"/>
  <c r="D25" i="1" l="1"/>
  <c r="E25" i="1"/>
  <c r="C26" i="1" s="1"/>
  <c r="D15" i="2"/>
  <c r="E15" i="2" s="1"/>
  <c r="F15" i="2" s="1"/>
  <c r="G15" i="2" s="1"/>
  <c r="B28" i="3"/>
  <c r="D27" i="3"/>
  <c r="C27" i="3"/>
  <c r="H15" i="2" l="1"/>
  <c r="C16" i="2"/>
  <c r="B29" i="3"/>
  <c r="D28" i="3"/>
  <c r="C28" i="3"/>
  <c r="D26" i="1"/>
  <c r="E26" i="1" s="1"/>
  <c r="C27" i="1" s="1"/>
  <c r="D27" i="1" l="1"/>
  <c r="E27" i="1" s="1"/>
  <c r="C28" i="1" s="1"/>
  <c r="D29" i="3"/>
  <c r="C29" i="3"/>
  <c r="B30" i="3"/>
  <c r="D16" i="2"/>
  <c r="E16" i="2" s="1"/>
  <c r="F16" i="2" s="1"/>
  <c r="D28" i="1" l="1"/>
  <c r="E28" i="1" s="1"/>
  <c r="C29" i="1" s="1"/>
  <c r="G16" i="2"/>
  <c r="D30" i="3"/>
  <c r="C30" i="3"/>
  <c r="B31" i="3"/>
  <c r="D29" i="1" l="1"/>
  <c r="E29" i="1" s="1"/>
  <c r="C30" i="1" s="1"/>
  <c r="C17" i="2"/>
  <c r="H16" i="2"/>
  <c r="B32" i="3"/>
  <c r="D31" i="3"/>
  <c r="C31" i="3"/>
  <c r="E30" i="1" l="1"/>
  <c r="C31" i="1" s="1"/>
  <c r="D30" i="1"/>
  <c r="B33" i="3"/>
  <c r="D32" i="3"/>
  <c r="C32" i="3"/>
  <c r="D17" i="2"/>
  <c r="E17" i="2" s="1"/>
  <c r="F17" i="2" s="1"/>
  <c r="G17" i="2" l="1"/>
  <c r="D33" i="3"/>
  <c r="C33" i="3"/>
  <c r="B34" i="3"/>
  <c r="D31" i="1"/>
  <c r="E31" i="1" s="1"/>
  <c r="C32" i="1" s="1"/>
  <c r="E32" i="1" l="1"/>
  <c r="C33" i="1" s="1"/>
  <c r="D32" i="1"/>
  <c r="B35" i="3"/>
  <c r="D34" i="3"/>
  <c r="C34" i="3"/>
  <c r="H17" i="2"/>
  <c r="C18" i="2"/>
  <c r="D18" i="2" l="1"/>
  <c r="D35" i="3"/>
  <c r="C35" i="3"/>
  <c r="B36" i="3"/>
  <c r="D33" i="1"/>
  <c r="E33" i="1" s="1"/>
  <c r="C34" i="1" s="1"/>
  <c r="D34" i="1" l="1"/>
  <c r="E34" i="1" s="1"/>
  <c r="C35" i="1" s="1"/>
  <c r="B37" i="3"/>
  <c r="D36" i="3"/>
  <c r="C36" i="3"/>
  <c r="E18" i="2"/>
  <c r="F18" i="2" s="1"/>
  <c r="G18" i="2" s="1"/>
  <c r="H18" i="2" l="1"/>
  <c r="C19" i="2"/>
  <c r="D35" i="1"/>
  <c r="E35" i="1" s="1"/>
  <c r="C36" i="1" s="1"/>
  <c r="D37" i="3"/>
  <c r="C37" i="3"/>
  <c r="B38" i="3"/>
  <c r="D36" i="1" l="1"/>
  <c r="E36" i="1" s="1"/>
  <c r="C37" i="1" s="1"/>
  <c r="C38" i="3"/>
  <c r="B39" i="3"/>
  <c r="D38" i="3"/>
  <c r="D19" i="2"/>
  <c r="D37" i="1" l="1"/>
  <c r="E37" i="1" s="1"/>
  <c r="C38" i="1" s="1"/>
  <c r="E19" i="2"/>
  <c r="F19" i="2" s="1"/>
  <c r="G19" i="2" s="1"/>
  <c r="B40" i="3"/>
  <c r="D39" i="3"/>
  <c r="C39" i="3"/>
  <c r="C20" i="2" l="1"/>
  <c r="H19" i="2"/>
  <c r="D38" i="1"/>
  <c r="E38" i="1" s="1"/>
  <c r="C39" i="1" s="1"/>
  <c r="B41" i="3"/>
  <c r="D40" i="3"/>
  <c r="C40" i="3"/>
  <c r="D39" i="1" l="1"/>
  <c r="E39" i="1" s="1"/>
  <c r="C40" i="1" s="1"/>
  <c r="D41" i="3"/>
  <c r="C41" i="3"/>
  <c r="B42" i="3"/>
  <c r="D20" i="2"/>
  <c r="E20" i="2" s="1"/>
  <c r="F20" i="2" s="1"/>
  <c r="D40" i="1" l="1"/>
  <c r="E40" i="1" s="1"/>
  <c r="C41" i="1" s="1"/>
  <c r="G20" i="2"/>
  <c r="D42" i="3"/>
  <c r="C42" i="3"/>
  <c r="B43" i="3"/>
  <c r="D41" i="1" l="1"/>
  <c r="E41" i="1" s="1"/>
  <c r="C42" i="1" s="1"/>
  <c r="C43" i="3"/>
  <c r="D43" i="3"/>
  <c r="B44" i="3"/>
  <c r="C21" i="2"/>
  <c r="H20" i="2"/>
  <c r="D42" i="1" l="1"/>
  <c r="E42" i="1" s="1"/>
  <c r="C43" i="1" s="1"/>
  <c r="B45" i="3"/>
  <c r="D44" i="3"/>
  <c r="C44" i="3"/>
  <c r="D21" i="2"/>
  <c r="E21" i="2" s="1"/>
  <c r="F21" i="2" s="1"/>
  <c r="D43" i="1" l="1"/>
  <c r="E43" i="1" s="1"/>
  <c r="C44" i="1" s="1"/>
  <c r="D45" i="3"/>
  <c r="C45" i="3"/>
  <c r="B46" i="3"/>
  <c r="G21" i="2"/>
  <c r="D44" i="1" l="1"/>
  <c r="E44" i="1" s="1"/>
  <c r="C45" i="1" s="1"/>
  <c r="C22" i="2"/>
  <c r="H21" i="2"/>
  <c r="D46" i="3"/>
  <c r="C46" i="3"/>
  <c r="B47" i="3"/>
  <c r="D45" i="1" l="1"/>
  <c r="E45" i="1" s="1"/>
  <c r="C46" i="1" s="1"/>
  <c r="B48" i="3"/>
  <c r="D47" i="3"/>
  <c r="C47" i="3"/>
  <c r="D22" i="2"/>
  <c r="G22" i="2" s="1"/>
  <c r="E22" i="2"/>
  <c r="F22" i="2" s="1"/>
  <c r="C23" i="2" l="1"/>
  <c r="H22" i="2"/>
  <c r="D46" i="1"/>
  <c r="E46" i="1" s="1"/>
  <c r="C47" i="1" s="1"/>
  <c r="B49" i="3"/>
  <c r="C48" i="3"/>
  <c r="D48" i="3"/>
  <c r="D47" i="1" l="1"/>
  <c r="E47" i="1" s="1"/>
  <c r="C48" i="1" s="1"/>
  <c r="D49" i="3"/>
  <c r="C49" i="3"/>
  <c r="B50" i="3"/>
  <c r="D23" i="2"/>
  <c r="D48" i="1" l="1"/>
  <c r="E48" i="1" s="1"/>
  <c r="C49" i="1" s="1"/>
  <c r="E23" i="2"/>
  <c r="F23" i="2" s="1"/>
  <c r="G23" i="2" s="1"/>
  <c r="B51" i="3"/>
  <c r="D50" i="3"/>
  <c r="C50" i="3"/>
  <c r="H23" i="2" l="1"/>
  <c r="C24" i="2"/>
  <c r="D49" i="1"/>
  <c r="E49" i="1" s="1"/>
  <c r="C50" i="1" s="1"/>
  <c r="D51" i="3"/>
  <c r="C51" i="3"/>
  <c r="B52" i="3"/>
  <c r="D50" i="1" l="1"/>
  <c r="E50" i="1" s="1"/>
  <c r="C51" i="1" s="1"/>
  <c r="B53" i="3"/>
  <c r="D52" i="3"/>
  <c r="C52" i="3"/>
  <c r="D24" i="2"/>
  <c r="E24" i="2" s="1"/>
  <c r="F24" i="2" s="1"/>
  <c r="D51" i="1" l="1"/>
  <c r="E51" i="1" s="1"/>
  <c r="C52" i="1" s="1"/>
  <c r="G24" i="2"/>
  <c r="D53" i="3"/>
  <c r="C53" i="3"/>
  <c r="B54" i="3"/>
  <c r="D52" i="1" l="1"/>
  <c r="E52" i="1" s="1"/>
  <c r="C53" i="1" s="1"/>
  <c r="B55" i="3"/>
  <c r="D54" i="3"/>
  <c r="C54" i="3"/>
  <c r="H24" i="2"/>
  <c r="C25" i="2"/>
  <c r="D53" i="1" l="1"/>
  <c r="E53" i="1" s="1"/>
  <c r="C54" i="1" s="1"/>
  <c r="B56" i="3"/>
  <c r="D55" i="3"/>
  <c r="C55" i="3"/>
  <c r="D25" i="2"/>
  <c r="E25" i="2" s="1"/>
  <c r="F25" i="2" s="1"/>
  <c r="D54" i="1" l="1"/>
  <c r="E54" i="1" s="1"/>
  <c r="C55" i="1" s="1"/>
  <c r="G25" i="2"/>
  <c r="B57" i="3"/>
  <c r="D56" i="3"/>
  <c r="C56" i="3"/>
  <c r="D55" i="1" l="1"/>
  <c r="E55" i="1" s="1"/>
  <c r="C56" i="1" s="1"/>
  <c r="D57" i="3"/>
  <c r="C57" i="3"/>
  <c r="B58" i="3"/>
  <c r="H25" i="2"/>
  <c r="C26" i="2"/>
  <c r="D56" i="1" l="1"/>
  <c r="E56" i="1" s="1"/>
  <c r="C57" i="1" s="1"/>
  <c r="D26" i="2"/>
  <c r="B59" i="3"/>
  <c r="D58" i="3"/>
  <c r="C58" i="3"/>
  <c r="D57" i="1" l="1"/>
  <c r="E57" i="1" s="1"/>
  <c r="C58" i="1" s="1"/>
  <c r="B60" i="3"/>
  <c r="D59" i="3"/>
  <c r="C59" i="3"/>
  <c r="E26" i="2"/>
  <c r="F26" i="2" s="1"/>
  <c r="G26" i="2" s="1"/>
  <c r="C27" i="2" l="1"/>
  <c r="H26" i="2"/>
  <c r="D58" i="1"/>
  <c r="E58" i="1"/>
  <c r="C59" i="1" s="1"/>
  <c r="B61" i="3"/>
  <c r="D60" i="3"/>
  <c r="C60" i="3"/>
  <c r="D59" i="1" l="1"/>
  <c r="E59" i="1" s="1"/>
  <c r="C60" i="1" s="1"/>
  <c r="D61" i="3"/>
  <c r="C61" i="3"/>
  <c r="B62" i="3"/>
  <c r="D27" i="2"/>
  <c r="E27" i="2" s="1"/>
  <c r="F27" i="2" s="1"/>
  <c r="D60" i="1" l="1"/>
  <c r="E60" i="1"/>
  <c r="C61" i="1" s="1"/>
  <c r="G27" i="2"/>
  <c r="D62" i="3"/>
  <c r="C62" i="3"/>
  <c r="B63" i="3"/>
  <c r="C63" i="3" l="1"/>
  <c r="B64" i="3"/>
  <c r="D63" i="3"/>
  <c r="H27" i="2"/>
  <c r="C28" i="2"/>
  <c r="D61" i="1"/>
  <c r="E61" i="1" s="1"/>
  <c r="C62" i="1" s="1"/>
  <c r="D62" i="1" l="1"/>
  <c r="E62" i="1" s="1"/>
  <c r="C63" i="1" s="1"/>
  <c r="B65" i="3"/>
  <c r="D64" i="3"/>
  <c r="C64" i="3"/>
  <c r="D28" i="2"/>
  <c r="D63" i="1" l="1"/>
  <c r="E63" i="1" s="1"/>
  <c r="C64" i="1" s="1"/>
  <c r="E28" i="2"/>
  <c r="F28" i="2" s="1"/>
  <c r="G28" i="2" s="1"/>
  <c r="D65" i="3"/>
  <c r="C65" i="3"/>
  <c r="B66" i="3"/>
  <c r="D64" i="1" l="1"/>
  <c r="E64" i="1" s="1"/>
  <c r="C65" i="1" s="1"/>
  <c r="C29" i="2"/>
  <c r="H28" i="2"/>
  <c r="B67" i="3"/>
  <c r="D66" i="3"/>
  <c r="C66" i="3"/>
  <c r="D65" i="1" l="1"/>
  <c r="E65" i="1" s="1"/>
  <c r="C66" i="1" s="1"/>
  <c r="D67" i="3"/>
  <c r="C67" i="3"/>
  <c r="B68" i="3"/>
  <c r="D29" i="2"/>
  <c r="E29" i="2" s="1"/>
  <c r="F29" i="2" s="1"/>
  <c r="D66" i="1" l="1"/>
  <c r="E66" i="1" s="1"/>
  <c r="C67" i="1" s="1"/>
  <c r="G29" i="2"/>
  <c r="B69" i="3"/>
  <c r="D68" i="3"/>
  <c r="C68" i="3"/>
  <c r="D67" i="1" l="1"/>
  <c r="E67" i="1" s="1"/>
  <c r="C68" i="1" s="1"/>
  <c r="D69" i="3"/>
  <c r="C69" i="3"/>
  <c r="B70" i="3"/>
  <c r="C30" i="2"/>
  <c r="H29" i="2"/>
  <c r="D68" i="1" l="1"/>
  <c r="E68" i="1" s="1"/>
  <c r="C69" i="1" s="1"/>
  <c r="D70" i="3"/>
  <c r="C70" i="3"/>
  <c r="B71" i="3"/>
  <c r="D30" i="2"/>
  <c r="E30" i="2" s="1"/>
  <c r="F30" i="2" s="1"/>
  <c r="D69" i="1" l="1"/>
  <c r="E69" i="1" s="1"/>
  <c r="C70" i="1" s="1"/>
  <c r="G30" i="2"/>
  <c r="B72" i="3"/>
  <c r="D71" i="3"/>
  <c r="C71" i="3"/>
  <c r="D70" i="1" l="1"/>
  <c r="E70" i="1" s="1"/>
  <c r="C71" i="1" s="1"/>
  <c r="B73" i="3"/>
  <c r="D72" i="3"/>
  <c r="C72" i="3"/>
  <c r="H30" i="2"/>
  <c r="C31" i="2"/>
  <c r="D71" i="1" l="1"/>
  <c r="E71" i="1" s="1"/>
  <c r="C72" i="1" s="1"/>
  <c r="D31" i="2"/>
  <c r="D73" i="3"/>
  <c r="B74" i="3"/>
  <c r="C73" i="3"/>
  <c r="D72" i="1" l="1"/>
  <c r="E72" i="1"/>
  <c r="C73" i="1" s="1"/>
  <c r="C74" i="3"/>
  <c r="B75" i="3"/>
  <c r="D74" i="3"/>
  <c r="E31" i="2"/>
  <c r="F31" i="2" s="1"/>
  <c r="G31" i="2" s="1"/>
  <c r="C32" i="2" l="1"/>
  <c r="H31" i="2"/>
  <c r="C75" i="3"/>
  <c r="B76" i="3"/>
  <c r="D75" i="3"/>
  <c r="D73" i="1"/>
  <c r="E73" i="1" s="1"/>
  <c r="C74" i="1" s="1"/>
  <c r="D74" i="1" l="1"/>
  <c r="E74" i="1" s="1"/>
  <c r="C75" i="1" s="1"/>
  <c r="B77" i="3"/>
  <c r="D76" i="3"/>
  <c r="C76" i="3"/>
  <c r="D32" i="2"/>
  <c r="D75" i="1" l="1"/>
  <c r="E75" i="1" s="1"/>
  <c r="C76" i="1" s="1"/>
  <c r="E32" i="2"/>
  <c r="F32" i="2" s="1"/>
  <c r="G32" i="2" s="1"/>
  <c r="D77" i="3"/>
  <c r="B78" i="3"/>
  <c r="C77" i="3"/>
  <c r="C33" i="2" l="1"/>
  <c r="H32" i="2"/>
  <c r="D76" i="1"/>
  <c r="E76" i="1" s="1"/>
  <c r="C77" i="1" s="1"/>
  <c r="B79" i="3"/>
  <c r="D78" i="3"/>
  <c r="C78" i="3"/>
  <c r="D77" i="1" l="1"/>
  <c r="E77" i="1" s="1"/>
  <c r="C78" i="1" s="1"/>
  <c r="B80" i="3"/>
  <c r="D79" i="3"/>
  <c r="C79" i="3"/>
  <c r="D33" i="2"/>
  <c r="E33" i="2" s="1"/>
  <c r="F33" i="2" s="1"/>
  <c r="D78" i="1" l="1"/>
  <c r="E78" i="1" s="1"/>
  <c r="C79" i="1" s="1"/>
  <c r="G33" i="2"/>
  <c r="B81" i="3"/>
  <c r="D80" i="3"/>
  <c r="C80" i="3"/>
  <c r="D79" i="1" l="1"/>
  <c r="E79" i="1" s="1"/>
  <c r="C80" i="1" s="1"/>
  <c r="D81" i="3"/>
  <c r="B82" i="3"/>
  <c r="C81" i="3"/>
  <c r="C34" i="2"/>
  <c r="H33" i="2"/>
  <c r="D80" i="1" l="1"/>
  <c r="E80" i="1" s="1"/>
  <c r="C81" i="1" s="1"/>
  <c r="B83" i="3"/>
  <c r="C82" i="3"/>
  <c r="D82" i="3"/>
  <c r="D34" i="2"/>
  <c r="D81" i="1" l="1"/>
  <c r="E81" i="1"/>
  <c r="C82" i="1" s="1"/>
  <c r="E34" i="2"/>
  <c r="F34" i="2" s="1"/>
  <c r="G34" i="2" s="1"/>
  <c r="D83" i="3"/>
  <c r="C83" i="3"/>
  <c r="B84" i="3"/>
  <c r="H34" i="2" l="1"/>
  <c r="C35" i="2"/>
  <c r="C84" i="3"/>
  <c r="D84" i="3"/>
  <c r="B85" i="3"/>
  <c r="D82" i="1"/>
  <c r="E82" i="1" s="1"/>
  <c r="C83" i="1" s="1"/>
  <c r="D83" i="1" l="1"/>
  <c r="E83" i="1" s="1"/>
  <c r="C84" i="1" s="1"/>
  <c r="D85" i="3"/>
  <c r="B86" i="3"/>
  <c r="C85" i="3"/>
  <c r="D35" i="2"/>
  <c r="E35" i="2" s="1"/>
  <c r="F35" i="2" s="1"/>
  <c r="D84" i="1" l="1"/>
  <c r="E84" i="1"/>
  <c r="C85" i="1" s="1"/>
  <c r="G35" i="2"/>
  <c r="C86" i="3"/>
  <c r="D86" i="3"/>
  <c r="B87" i="3"/>
  <c r="B88" i="3" l="1"/>
  <c r="D87" i="3"/>
  <c r="C87" i="3"/>
  <c r="H35" i="2"/>
  <c r="C36" i="2"/>
  <c r="D85" i="1"/>
  <c r="E85" i="1" s="1"/>
  <c r="C86" i="1" s="1"/>
  <c r="D86" i="1" l="1"/>
  <c r="E86" i="1" s="1"/>
  <c r="C87" i="1" s="1"/>
  <c r="D36" i="2"/>
  <c r="E36" i="2" s="1"/>
  <c r="F36" i="2" s="1"/>
  <c r="G36" i="2" s="1"/>
  <c r="C88" i="3"/>
  <c r="B89" i="3"/>
  <c r="D88" i="3"/>
  <c r="H36" i="2" l="1"/>
  <c r="C37" i="2"/>
  <c r="D87" i="1"/>
  <c r="E87" i="1" s="1"/>
  <c r="C88" i="1" s="1"/>
  <c r="D89" i="3"/>
  <c r="B90" i="3"/>
  <c r="C89" i="3"/>
  <c r="D88" i="1" l="1"/>
  <c r="E88" i="1" s="1"/>
  <c r="C89" i="1" s="1"/>
  <c r="C90" i="3"/>
  <c r="B91" i="3"/>
  <c r="D90" i="3"/>
  <c r="D37" i="2"/>
  <c r="E37" i="2" s="1"/>
  <c r="F37" i="2" s="1"/>
  <c r="D89" i="1" l="1"/>
  <c r="E89" i="1" s="1"/>
  <c r="C90" i="1" s="1"/>
  <c r="G37" i="2"/>
  <c r="B92" i="3"/>
  <c r="D91" i="3"/>
  <c r="C91" i="3"/>
  <c r="D90" i="1" l="1"/>
  <c r="E90" i="1" s="1"/>
  <c r="C91" i="1" s="1"/>
  <c r="B93" i="3"/>
  <c r="D92" i="3"/>
  <c r="C92" i="3"/>
  <c r="C38" i="2"/>
  <c r="H37" i="2"/>
  <c r="D91" i="1" l="1"/>
  <c r="E91" i="1" s="1"/>
  <c r="C92" i="1" s="1"/>
  <c r="D38" i="2"/>
  <c r="E38" i="2" s="1"/>
  <c r="F38" i="2" s="1"/>
  <c r="G38" i="2" s="1"/>
  <c r="D93" i="3"/>
  <c r="B94" i="3"/>
  <c r="C93" i="3"/>
  <c r="C39" i="2" l="1"/>
  <c r="H38" i="2"/>
  <c r="D92" i="1"/>
  <c r="E92" i="1" s="1"/>
  <c r="C93" i="1" s="1"/>
  <c r="B95" i="3"/>
  <c r="D94" i="3"/>
  <c r="C94" i="3"/>
  <c r="D93" i="1" l="1"/>
  <c r="E93" i="1" s="1"/>
  <c r="C94" i="1" s="1"/>
  <c r="B96" i="3"/>
  <c r="D95" i="3"/>
  <c r="C95" i="3"/>
  <c r="D39" i="2"/>
  <c r="E39" i="2" s="1"/>
  <c r="F39" i="2" s="1"/>
  <c r="G39" i="2" s="1"/>
  <c r="H39" i="2" l="1"/>
  <c r="C40" i="2"/>
  <c r="D94" i="1"/>
  <c r="E94" i="1" s="1"/>
  <c r="C95" i="1" s="1"/>
  <c r="B97" i="3"/>
  <c r="D96" i="3"/>
  <c r="C96" i="3"/>
  <c r="D95" i="1" l="1"/>
  <c r="E95" i="1" s="1"/>
  <c r="C96" i="1" s="1"/>
  <c r="D97" i="3"/>
  <c r="B98" i="3"/>
  <c r="C97" i="3"/>
  <c r="D40" i="2"/>
  <c r="D96" i="1" l="1"/>
  <c r="E96" i="1"/>
  <c r="C97" i="1" s="1"/>
  <c r="E40" i="2"/>
  <c r="F40" i="2" s="1"/>
  <c r="G40" i="2" s="1"/>
  <c r="C98" i="3"/>
  <c r="B99" i="3"/>
  <c r="D98" i="3"/>
  <c r="C41" i="2" l="1"/>
  <c r="H40" i="2"/>
  <c r="C99" i="3"/>
  <c r="B100" i="3"/>
  <c r="D99" i="3"/>
  <c r="D97" i="1"/>
  <c r="E97" i="1" s="1"/>
  <c r="C98" i="1" s="1"/>
  <c r="D98" i="1" l="1"/>
  <c r="E98" i="1" s="1"/>
  <c r="C99" i="1" s="1"/>
  <c r="B101" i="3"/>
  <c r="D100" i="3"/>
  <c r="C100" i="3"/>
  <c r="D41" i="2"/>
  <c r="E41" i="2" s="1"/>
  <c r="F41" i="2" s="1"/>
  <c r="D99" i="1" l="1"/>
  <c r="E99" i="1" s="1"/>
  <c r="C100" i="1" s="1"/>
  <c r="G41" i="2"/>
  <c r="D101" i="3"/>
  <c r="B102" i="3"/>
  <c r="C101" i="3"/>
  <c r="D100" i="1" l="1"/>
  <c r="E100" i="1" s="1"/>
  <c r="C101" i="1" s="1"/>
  <c r="C42" i="2"/>
  <c r="H41" i="2"/>
  <c r="B103" i="3"/>
  <c r="D102" i="3"/>
  <c r="C102" i="3"/>
  <c r="D101" i="1" l="1"/>
  <c r="E101" i="1" s="1"/>
  <c r="C102" i="1" s="1"/>
  <c r="D42" i="2"/>
  <c r="B104" i="3"/>
  <c r="D103" i="3"/>
  <c r="C103" i="3"/>
  <c r="D102" i="1" l="1"/>
  <c r="E102" i="1" s="1"/>
  <c r="C103" i="1" s="1"/>
  <c r="B105" i="3"/>
  <c r="D104" i="3"/>
  <c r="C104" i="3"/>
  <c r="E42" i="2"/>
  <c r="F42" i="2" s="1"/>
  <c r="G42" i="2" s="1"/>
  <c r="H42" i="2" l="1"/>
  <c r="C43" i="2"/>
  <c r="D103" i="1"/>
  <c r="E103" i="1" s="1"/>
  <c r="C104" i="1" s="1"/>
  <c r="D105" i="3"/>
  <c r="B106" i="3"/>
  <c r="C105" i="3"/>
  <c r="D104" i="1" l="1"/>
  <c r="E104" i="1" s="1"/>
  <c r="C105" i="1" s="1"/>
  <c r="D43" i="2"/>
  <c r="E43" i="2"/>
  <c r="F43" i="2" s="1"/>
  <c r="G43" i="2" s="1"/>
  <c r="B107" i="3"/>
  <c r="D106" i="3"/>
  <c r="C106" i="3"/>
  <c r="H43" i="2" l="1"/>
  <c r="C44" i="2"/>
  <c r="D105" i="1"/>
  <c r="E105" i="1" s="1"/>
  <c r="C106" i="1" s="1"/>
  <c r="D107" i="3"/>
  <c r="C107" i="3"/>
  <c r="B108" i="3"/>
  <c r="D106" i="1" l="1"/>
  <c r="E106" i="1" s="1"/>
  <c r="C107" i="1" s="1"/>
  <c r="B109" i="3"/>
  <c r="D108" i="3"/>
  <c r="C108" i="3"/>
  <c r="D44" i="2"/>
  <c r="E44" i="2" s="1"/>
  <c r="F44" i="2" s="1"/>
  <c r="D107" i="1" l="1"/>
  <c r="E107" i="1" s="1"/>
  <c r="C108" i="1" s="1"/>
  <c r="G44" i="2"/>
  <c r="D109" i="3"/>
  <c r="B110" i="3"/>
  <c r="C109" i="3"/>
  <c r="D108" i="1" l="1"/>
  <c r="E108" i="1" s="1"/>
  <c r="C109" i="1" s="1"/>
  <c r="B111" i="3"/>
  <c r="D110" i="3"/>
  <c r="C110" i="3"/>
  <c r="C45" i="2"/>
  <c r="H44" i="2"/>
  <c r="D109" i="1" l="1"/>
  <c r="E109" i="1" s="1"/>
  <c r="C110" i="1" s="1"/>
  <c r="D45" i="2"/>
  <c r="E45" i="2" s="1"/>
  <c r="F45" i="2" s="1"/>
  <c r="G45" i="2" s="1"/>
  <c r="B112" i="3"/>
  <c r="D111" i="3"/>
  <c r="C111" i="3"/>
  <c r="C46" i="2" l="1"/>
  <c r="H45" i="2"/>
  <c r="D110" i="1"/>
  <c r="E110" i="1" s="1"/>
  <c r="C111" i="1" s="1"/>
  <c r="C112" i="3"/>
  <c r="B113" i="3"/>
  <c r="D112" i="3"/>
  <c r="D111" i="1" l="1"/>
  <c r="E111" i="1" s="1"/>
  <c r="C112" i="1" s="1"/>
  <c r="D113" i="3"/>
  <c r="B114" i="3"/>
  <c r="C113" i="3"/>
  <c r="D46" i="2"/>
  <c r="D112" i="1" l="1"/>
  <c r="E112" i="1" s="1"/>
  <c r="C113" i="1" s="1"/>
  <c r="E46" i="2"/>
  <c r="F46" i="2" s="1"/>
  <c r="G46" i="2" s="1"/>
  <c r="B115" i="3"/>
  <c r="D114" i="3"/>
  <c r="C114" i="3"/>
  <c r="C47" i="2" l="1"/>
  <c r="H46" i="2"/>
  <c r="D113" i="1"/>
  <c r="E113" i="1" s="1"/>
  <c r="C114" i="1" s="1"/>
  <c r="C115" i="3"/>
  <c r="B116" i="3"/>
  <c r="D115" i="3"/>
  <c r="D114" i="1" l="1"/>
  <c r="E114" i="1" s="1"/>
  <c r="C115" i="1" s="1"/>
  <c r="B117" i="3"/>
  <c r="D116" i="3"/>
  <c r="C116" i="3"/>
  <c r="D47" i="2"/>
  <c r="D115" i="1" l="1"/>
  <c r="E115" i="1" s="1"/>
  <c r="C116" i="1" s="1"/>
  <c r="E47" i="2"/>
  <c r="F47" i="2" s="1"/>
  <c r="G47" i="2" s="1"/>
  <c r="D117" i="3"/>
  <c r="B118" i="3"/>
  <c r="C117" i="3"/>
  <c r="H47" i="2" l="1"/>
  <c r="C48" i="2"/>
  <c r="D116" i="1"/>
  <c r="E116" i="1" s="1"/>
  <c r="C117" i="1" s="1"/>
  <c r="D118" i="3"/>
  <c r="C118" i="3"/>
  <c r="B119" i="3"/>
  <c r="D117" i="1" l="1"/>
  <c r="E117" i="1" s="1"/>
  <c r="C118" i="1" s="1"/>
  <c r="B120" i="3"/>
  <c r="D119" i="3"/>
  <c r="C119" i="3"/>
  <c r="D48" i="2"/>
  <c r="D118" i="1" l="1"/>
  <c r="E118" i="1" s="1"/>
  <c r="C119" i="1" s="1"/>
  <c r="E48" i="2"/>
  <c r="F48" i="2" s="1"/>
  <c r="G48" i="2" s="1"/>
  <c r="B121" i="3"/>
  <c r="C120" i="3"/>
  <c r="D120" i="3"/>
  <c r="H48" i="2" l="1"/>
  <c r="C49" i="2"/>
  <c r="D119" i="1"/>
  <c r="E119" i="1" s="1"/>
  <c r="C120" i="1" s="1"/>
  <c r="D121" i="3"/>
  <c r="B122" i="3"/>
  <c r="C121" i="3"/>
  <c r="D120" i="1" l="1"/>
  <c r="E120" i="1"/>
  <c r="C121" i="1" s="1"/>
  <c r="C122" i="3"/>
  <c r="B123" i="3"/>
  <c r="D122" i="3"/>
  <c r="D49" i="2"/>
  <c r="E49" i="2" s="1"/>
  <c r="F49" i="2" s="1"/>
  <c r="G49" i="2" l="1"/>
  <c r="B124" i="3"/>
  <c r="C123" i="3"/>
  <c r="D123" i="3"/>
  <c r="D121" i="1"/>
  <c r="E121" i="1" s="1"/>
  <c r="C122" i="1" s="1"/>
  <c r="D122" i="1" l="1"/>
  <c r="E122" i="1" s="1"/>
  <c r="C123" i="1" s="1"/>
  <c r="C124" i="3"/>
  <c r="B125" i="3"/>
  <c r="D124" i="3"/>
  <c r="C50" i="2"/>
  <c r="H49" i="2"/>
  <c r="D123" i="1" l="1"/>
  <c r="E123" i="1" s="1"/>
  <c r="C124" i="1" s="1"/>
  <c r="D50" i="2"/>
  <c r="G50" i="2" s="1"/>
  <c r="E50" i="2"/>
  <c r="F50" i="2" s="1"/>
  <c r="D125" i="3"/>
  <c r="B126" i="3"/>
  <c r="C125" i="3"/>
  <c r="C51" i="2" l="1"/>
  <c r="H50" i="2"/>
  <c r="D124" i="1"/>
  <c r="E124" i="1"/>
  <c r="C125" i="1" s="1"/>
  <c r="B127" i="3"/>
  <c r="D126" i="3"/>
  <c r="C126" i="3"/>
  <c r="D125" i="1" l="1"/>
  <c r="E125" i="1" s="1"/>
  <c r="C126" i="1" s="1"/>
  <c r="B128" i="3"/>
  <c r="D127" i="3"/>
  <c r="C127" i="3"/>
  <c r="D51" i="2"/>
  <c r="D126" i="1" l="1"/>
  <c r="E126" i="1" s="1"/>
  <c r="C127" i="1" s="1"/>
  <c r="E51" i="2"/>
  <c r="F51" i="2" s="1"/>
  <c r="G51" i="2" s="1"/>
  <c r="C128" i="3"/>
  <c r="D128" i="3"/>
  <c r="B129" i="3"/>
  <c r="C52" i="2" l="1"/>
  <c r="H51" i="2"/>
  <c r="D127" i="1"/>
  <c r="E127" i="1" s="1"/>
  <c r="C128" i="1" s="1"/>
  <c r="D129" i="3"/>
  <c r="B130" i="3"/>
  <c r="C129" i="3"/>
  <c r="D128" i="1" l="1"/>
  <c r="E128" i="1" s="1"/>
  <c r="C129" i="1" s="1"/>
  <c r="B131" i="3"/>
  <c r="D130" i="3"/>
  <c r="C130" i="3"/>
  <c r="D52" i="2"/>
  <c r="D129" i="1" l="1"/>
  <c r="E129" i="1" s="1"/>
  <c r="C130" i="1" s="1"/>
  <c r="E52" i="2"/>
  <c r="F52" i="2" s="1"/>
  <c r="G52" i="2" s="1"/>
  <c r="B132" i="3"/>
  <c r="D131" i="3"/>
  <c r="C131" i="3"/>
  <c r="C53" i="2" l="1"/>
  <c r="H52" i="2"/>
  <c r="D130" i="1"/>
  <c r="E130" i="1" s="1"/>
  <c r="C131" i="1" s="1"/>
  <c r="C132" i="3"/>
  <c r="B133" i="3"/>
  <c r="D132" i="3"/>
  <c r="D131" i="1" l="1"/>
  <c r="E131" i="1" s="1"/>
  <c r="C132" i="1" s="1"/>
  <c r="D133" i="3"/>
  <c r="B134" i="3"/>
  <c r="C133" i="3"/>
  <c r="D53" i="2"/>
  <c r="E53" i="2" s="1"/>
  <c r="F53" i="2" s="1"/>
  <c r="D132" i="1" l="1"/>
  <c r="E132" i="1" s="1"/>
  <c r="C133" i="1" s="1"/>
  <c r="G53" i="2"/>
  <c r="B135" i="3"/>
  <c r="D134" i="3"/>
  <c r="C134" i="3"/>
  <c r="D133" i="1" l="1"/>
  <c r="E133" i="1" s="1"/>
  <c r="C134" i="1" s="1"/>
  <c r="C54" i="2"/>
  <c r="H53" i="2"/>
  <c r="B136" i="3"/>
  <c r="D135" i="3"/>
  <c r="C135" i="3"/>
  <c r="D134" i="1" l="1"/>
  <c r="E134" i="1" s="1"/>
  <c r="C135" i="1" s="1"/>
  <c r="C136" i="3"/>
  <c r="B137" i="3"/>
  <c r="D136" i="3"/>
  <c r="D54" i="2"/>
  <c r="E54" i="2" s="1"/>
  <c r="F54" i="2" s="1"/>
  <c r="D135" i="1" l="1"/>
  <c r="E135" i="1" s="1"/>
  <c r="C136" i="1" s="1"/>
  <c r="G54" i="2"/>
  <c r="D137" i="3"/>
  <c r="B138" i="3"/>
  <c r="C137" i="3"/>
  <c r="D136" i="1" l="1"/>
  <c r="E136" i="1" s="1"/>
  <c r="C137" i="1" s="1"/>
  <c r="H54" i="2"/>
  <c r="C55" i="2"/>
  <c r="B139" i="3"/>
  <c r="D138" i="3"/>
  <c r="C138" i="3"/>
  <c r="D137" i="1" l="1"/>
  <c r="E137" i="1" s="1"/>
  <c r="C138" i="1" s="1"/>
  <c r="C139" i="3"/>
  <c r="B140" i="3"/>
  <c r="D139" i="3"/>
  <c r="D55" i="2"/>
  <c r="D138" i="1" l="1"/>
  <c r="E138" i="1" s="1"/>
  <c r="C139" i="1" s="1"/>
  <c r="E55" i="2"/>
  <c r="F55" i="2" s="1"/>
  <c r="G55" i="2" s="1"/>
  <c r="C140" i="3"/>
  <c r="B141" i="3"/>
  <c r="D140" i="3"/>
  <c r="C56" i="2" l="1"/>
  <c r="H55" i="2"/>
  <c r="D139" i="1"/>
  <c r="E139" i="1" s="1"/>
  <c r="C140" i="1" s="1"/>
  <c r="D141" i="3"/>
  <c r="B142" i="3"/>
  <c r="C141" i="3"/>
  <c r="D140" i="1" l="1"/>
  <c r="E140" i="1" s="1"/>
  <c r="C141" i="1" s="1"/>
  <c r="B143" i="3"/>
  <c r="D142" i="3"/>
  <c r="C142" i="3"/>
  <c r="D56" i="2"/>
  <c r="E56" i="2" s="1"/>
  <c r="F56" i="2" s="1"/>
  <c r="G56" i="2" s="1"/>
  <c r="H56" i="2" l="1"/>
  <c r="C57" i="2"/>
  <c r="D141" i="1"/>
  <c r="E141" i="1" s="1"/>
  <c r="C142" i="1" s="1"/>
  <c r="B144" i="3"/>
  <c r="D143" i="3"/>
  <c r="C143" i="3"/>
  <c r="D142" i="1" l="1"/>
  <c r="E142" i="1" s="1"/>
  <c r="C143" i="1" s="1"/>
  <c r="D57" i="2"/>
  <c r="E57" i="2" s="1"/>
  <c r="F57" i="2" s="1"/>
  <c r="C144" i="3"/>
  <c r="B145" i="3"/>
  <c r="D144" i="3"/>
  <c r="D143" i="1" l="1"/>
  <c r="E143" i="1" s="1"/>
  <c r="C144" i="1" s="1"/>
  <c r="G57" i="2"/>
  <c r="D145" i="3"/>
  <c r="B146" i="3"/>
  <c r="C145" i="3"/>
  <c r="D144" i="1" l="1"/>
  <c r="E144" i="1"/>
  <c r="C145" i="1" s="1"/>
  <c r="C146" i="3"/>
  <c r="B147" i="3"/>
  <c r="D146" i="3"/>
  <c r="C58" i="2"/>
  <c r="H57" i="2"/>
  <c r="D58" i="2" l="1"/>
  <c r="G58" i="2" s="1"/>
  <c r="E58" i="2"/>
  <c r="F58" i="2" s="1"/>
  <c r="B148" i="3"/>
  <c r="D147" i="3"/>
  <c r="C147" i="3"/>
  <c r="D145" i="1"/>
  <c r="E145" i="1" s="1"/>
  <c r="C146" i="1" s="1"/>
  <c r="E146" i="1" l="1"/>
  <c r="C147" i="1" s="1"/>
  <c r="D146" i="1"/>
  <c r="C59" i="2"/>
  <c r="H58" i="2"/>
  <c r="C148" i="3"/>
  <c r="B149" i="3"/>
  <c r="D148" i="3"/>
  <c r="D59" i="2" l="1"/>
  <c r="E59" i="2" s="1"/>
  <c r="F59" i="2" s="1"/>
  <c r="G59" i="2" s="1"/>
  <c r="D149" i="3"/>
  <c r="B150" i="3"/>
  <c r="C149" i="3"/>
  <c r="D147" i="1"/>
  <c r="E147" i="1" s="1"/>
  <c r="C148" i="1" s="1"/>
  <c r="D148" i="1" l="1"/>
  <c r="E148" i="1" s="1"/>
  <c r="C149" i="1" s="1"/>
  <c r="H59" i="2"/>
  <c r="C60" i="2"/>
  <c r="B151" i="3"/>
  <c r="D150" i="3"/>
  <c r="C150" i="3"/>
  <c r="D149" i="1" l="1"/>
  <c r="E149" i="1" s="1"/>
  <c r="C150" i="1" s="1"/>
  <c r="B152" i="3"/>
  <c r="D151" i="3"/>
  <c r="C151" i="3"/>
  <c r="D60" i="2"/>
  <c r="D150" i="1" l="1"/>
  <c r="E150" i="1" s="1"/>
  <c r="C151" i="1" s="1"/>
  <c r="E60" i="2"/>
  <c r="F60" i="2" s="1"/>
  <c r="G60" i="2" s="1"/>
  <c r="C152" i="3"/>
  <c r="B153" i="3"/>
  <c r="D152" i="3"/>
  <c r="C61" i="2" l="1"/>
  <c r="H60" i="2"/>
  <c r="D151" i="1"/>
  <c r="E151" i="1" s="1"/>
  <c r="C152" i="1" s="1"/>
  <c r="D153" i="3"/>
  <c r="B154" i="3"/>
  <c r="C153" i="3"/>
  <c r="D152" i="1" l="1"/>
  <c r="E152" i="1" s="1"/>
  <c r="C153" i="1" s="1"/>
  <c r="B155" i="3"/>
  <c r="D154" i="3"/>
  <c r="C154" i="3"/>
  <c r="D61" i="2"/>
  <c r="D153" i="1" l="1"/>
  <c r="E153" i="1" s="1"/>
  <c r="C154" i="1" s="1"/>
  <c r="E61" i="2"/>
  <c r="F61" i="2" s="1"/>
  <c r="G61" i="2" s="1"/>
  <c r="D155" i="3"/>
  <c r="C155" i="3"/>
  <c r="B156" i="3"/>
  <c r="D154" i="1" l="1"/>
  <c r="E154" i="1" s="1"/>
  <c r="C155" i="1" s="1"/>
  <c r="C62" i="2"/>
  <c r="H61" i="2"/>
  <c r="C156" i="3"/>
  <c r="D156" i="3"/>
  <c r="B157" i="3"/>
  <c r="D155" i="1" l="1"/>
  <c r="E155" i="1" s="1"/>
  <c r="C156" i="1" s="1"/>
  <c r="D157" i="3"/>
  <c r="B158" i="3"/>
  <c r="C157" i="3"/>
  <c r="D62" i="2"/>
  <c r="E62" i="2" s="1"/>
  <c r="F62" i="2" s="1"/>
  <c r="D156" i="1" l="1"/>
  <c r="E156" i="1" s="1"/>
  <c r="C157" i="1" s="1"/>
  <c r="G62" i="2"/>
  <c r="B159" i="3"/>
  <c r="D158" i="3"/>
  <c r="C158" i="3"/>
  <c r="D157" i="1" l="1"/>
  <c r="E157" i="1" s="1"/>
  <c r="C158" i="1" s="1"/>
  <c r="B160" i="3"/>
  <c r="D159" i="3"/>
  <c r="C159" i="3"/>
  <c r="C63" i="2"/>
  <c r="H62" i="2"/>
  <c r="D158" i="1" l="1"/>
  <c r="E158" i="1" s="1"/>
  <c r="C159" i="1" s="1"/>
  <c r="C160" i="3"/>
  <c r="B161" i="3"/>
  <c r="D160" i="3"/>
  <c r="D63" i="2"/>
  <c r="E63" i="2" s="1"/>
  <c r="F63" i="2" s="1"/>
  <c r="D159" i="1" l="1"/>
  <c r="E159" i="1" s="1"/>
  <c r="C160" i="1" s="1"/>
  <c r="G63" i="2"/>
  <c r="D161" i="3"/>
  <c r="B162" i="3"/>
  <c r="C161" i="3"/>
  <c r="D160" i="1" l="1"/>
  <c r="E160" i="1" s="1"/>
  <c r="C161" i="1" s="1"/>
  <c r="B163" i="3"/>
  <c r="D162" i="3"/>
  <c r="C162" i="3"/>
  <c r="H63" i="2"/>
  <c r="C64" i="2"/>
  <c r="D161" i="1" l="1"/>
  <c r="E161" i="1" s="1"/>
  <c r="C162" i="1" s="1"/>
  <c r="B164" i="3"/>
  <c r="D163" i="3"/>
  <c r="C163" i="3"/>
  <c r="D64" i="2"/>
  <c r="D162" i="1" l="1"/>
  <c r="E162" i="1" s="1"/>
  <c r="C163" i="1" s="1"/>
  <c r="E64" i="2"/>
  <c r="F64" i="2" s="1"/>
  <c r="G64" i="2" s="1"/>
  <c r="C164" i="3"/>
  <c r="B165" i="3"/>
  <c r="D164" i="3"/>
  <c r="C65" i="2" l="1"/>
  <c r="H64" i="2"/>
  <c r="D163" i="1"/>
  <c r="E163" i="1"/>
  <c r="C164" i="1" s="1"/>
  <c r="D165" i="3"/>
  <c r="B166" i="3"/>
  <c r="C165" i="3"/>
  <c r="D164" i="1" l="1"/>
  <c r="E164" i="1" s="1"/>
  <c r="C165" i="1" s="1"/>
  <c r="B167" i="3"/>
  <c r="D166" i="3"/>
  <c r="C166" i="3"/>
  <c r="D65" i="2"/>
  <c r="D165" i="1" l="1"/>
  <c r="E165" i="1" s="1"/>
  <c r="C166" i="1" s="1"/>
  <c r="D167" i="3"/>
  <c r="C167" i="3"/>
  <c r="B168" i="3"/>
  <c r="E65" i="2"/>
  <c r="F65" i="2" s="1"/>
  <c r="G65" i="2" s="1"/>
  <c r="H65" i="2" l="1"/>
  <c r="C66" i="2"/>
  <c r="D166" i="1"/>
  <c r="E166" i="1" s="1"/>
  <c r="C167" i="1" s="1"/>
  <c r="C168" i="3"/>
  <c r="B169" i="3"/>
  <c r="D168" i="3"/>
  <c r="D167" i="1" l="1"/>
  <c r="E167" i="1" s="1"/>
  <c r="C168" i="1" s="1"/>
  <c r="D169" i="3"/>
  <c r="B170" i="3"/>
  <c r="C169" i="3"/>
  <c r="D66" i="2"/>
  <c r="D168" i="1" l="1"/>
  <c r="E168" i="1"/>
  <c r="C169" i="1" s="1"/>
  <c r="E66" i="2"/>
  <c r="F66" i="2" s="1"/>
  <c r="G66" i="2" s="1"/>
  <c r="B171" i="3"/>
  <c r="D170" i="3"/>
  <c r="C170" i="3"/>
  <c r="H66" i="2" l="1"/>
  <c r="C67" i="2"/>
  <c r="B172" i="3"/>
  <c r="D171" i="3"/>
  <c r="C171" i="3"/>
  <c r="D169" i="1"/>
  <c r="E169" i="1" s="1"/>
  <c r="C170" i="1" s="1"/>
  <c r="D170" i="1" l="1"/>
  <c r="E170" i="1" s="1"/>
  <c r="C171" i="1" s="1"/>
  <c r="C172" i="3"/>
  <c r="B173" i="3"/>
  <c r="D172" i="3"/>
  <c r="D67" i="2"/>
  <c r="E67" i="2" s="1"/>
  <c r="F67" i="2" s="1"/>
  <c r="D171" i="1" l="1"/>
  <c r="E171" i="1" s="1"/>
  <c r="C172" i="1" s="1"/>
  <c r="G67" i="2"/>
  <c r="D173" i="3"/>
  <c r="B174" i="3"/>
  <c r="C173" i="3"/>
  <c r="D172" i="1" l="1"/>
  <c r="E172" i="1" s="1"/>
  <c r="C173" i="1" s="1"/>
  <c r="B175" i="3"/>
  <c r="D174" i="3"/>
  <c r="C174" i="3"/>
  <c r="C68" i="2"/>
  <c r="H67" i="2"/>
  <c r="D173" i="1" l="1"/>
  <c r="E173" i="1" s="1"/>
  <c r="C174" i="1" s="1"/>
  <c r="B176" i="3"/>
  <c r="D175" i="3"/>
  <c r="C175" i="3"/>
  <c r="D68" i="2"/>
  <c r="E68" i="2" s="1"/>
  <c r="F68" i="2" s="1"/>
  <c r="D174" i="1" l="1"/>
  <c r="E174" i="1" s="1"/>
  <c r="C175" i="1" s="1"/>
  <c r="G68" i="2"/>
  <c r="C176" i="3"/>
  <c r="B177" i="3"/>
  <c r="D176" i="3"/>
  <c r="E175" i="1" l="1"/>
  <c r="C176" i="1" s="1"/>
  <c r="D175" i="1"/>
  <c r="D177" i="3"/>
  <c r="B178" i="3"/>
  <c r="C177" i="3"/>
  <c r="C69" i="2"/>
  <c r="H68" i="2"/>
  <c r="D69" i="2" l="1"/>
  <c r="B179" i="3"/>
  <c r="D178" i="3"/>
  <c r="C178" i="3"/>
  <c r="D176" i="1"/>
  <c r="E176" i="1" s="1"/>
  <c r="C177" i="1" s="1"/>
  <c r="D177" i="1" l="1"/>
  <c r="E177" i="1"/>
  <c r="C178" i="1" s="1"/>
  <c r="B180" i="3"/>
  <c r="D179" i="3"/>
  <c r="C179" i="3"/>
  <c r="E69" i="2"/>
  <c r="F69" i="2" s="1"/>
  <c r="G69" i="2" s="1"/>
  <c r="C70" i="2" l="1"/>
  <c r="H69" i="2"/>
  <c r="C180" i="3"/>
  <c r="B181" i="3"/>
  <c r="D180" i="3"/>
  <c r="D178" i="1"/>
  <c r="E178" i="1" s="1"/>
  <c r="C179" i="1" s="1"/>
  <c r="D179" i="1" l="1"/>
  <c r="E179" i="1" s="1"/>
  <c r="C180" i="1" s="1"/>
  <c r="D181" i="3"/>
  <c r="B182" i="3"/>
  <c r="C181" i="3"/>
  <c r="D70" i="2"/>
  <c r="D180" i="1" l="1"/>
  <c r="E180" i="1" s="1"/>
  <c r="C181" i="1" s="1"/>
  <c r="E70" i="2"/>
  <c r="F70" i="2" s="1"/>
  <c r="G70" i="2" s="1"/>
  <c r="B183" i="3"/>
  <c r="D182" i="3"/>
  <c r="C182" i="3"/>
  <c r="C71" i="2" l="1"/>
  <c r="H70" i="2"/>
  <c r="D181" i="1"/>
  <c r="E181" i="1" s="1"/>
  <c r="C182" i="1" s="1"/>
  <c r="C183" i="3"/>
  <c r="B184" i="3"/>
  <c r="D183" i="3"/>
  <c r="D182" i="1" l="1"/>
  <c r="E182" i="1" s="1"/>
  <c r="C183" i="1" s="1"/>
  <c r="C184" i="3"/>
  <c r="B185" i="3"/>
  <c r="D184" i="3"/>
  <c r="D71" i="2"/>
  <c r="E71" i="2" s="1"/>
  <c r="F71" i="2" s="1"/>
  <c r="D183" i="1" l="1"/>
  <c r="E183" i="1" s="1"/>
  <c r="C184" i="1" s="1"/>
  <c r="G71" i="2"/>
  <c r="D185" i="3"/>
  <c r="B186" i="3"/>
  <c r="C185" i="3"/>
  <c r="D184" i="1" l="1"/>
  <c r="E184" i="1" s="1"/>
  <c r="C185" i="1" s="1"/>
  <c r="B187" i="3"/>
  <c r="C186" i="3"/>
  <c r="D186" i="3"/>
  <c r="H71" i="2"/>
  <c r="C72" i="2"/>
  <c r="D185" i="1" l="1"/>
  <c r="E185" i="1" s="1"/>
  <c r="C186" i="1" s="1"/>
  <c r="D72" i="2"/>
  <c r="B188" i="3"/>
  <c r="D187" i="3"/>
  <c r="C187" i="3"/>
  <c r="D186" i="1" l="1"/>
  <c r="E186" i="1" s="1"/>
  <c r="C187" i="1" s="1"/>
  <c r="C188" i="3"/>
  <c r="B189" i="3"/>
  <c r="D188" i="3"/>
  <c r="E72" i="2"/>
  <c r="F72" i="2" s="1"/>
  <c r="G72" i="2" s="1"/>
  <c r="H72" i="2" l="1"/>
  <c r="C73" i="2"/>
  <c r="D187" i="1"/>
  <c r="E187" i="1" s="1"/>
  <c r="C188" i="1" s="1"/>
  <c r="D189" i="3"/>
  <c r="B190" i="3"/>
  <c r="C189" i="3"/>
  <c r="D188" i="1" l="1"/>
  <c r="E188" i="1" s="1"/>
  <c r="C189" i="1" s="1"/>
  <c r="D73" i="2"/>
  <c r="E73" i="2" s="1"/>
  <c r="F73" i="2" s="1"/>
  <c r="B191" i="3"/>
  <c r="D190" i="3"/>
  <c r="C190" i="3"/>
  <c r="D189" i="1" l="1"/>
  <c r="E189" i="1" s="1"/>
  <c r="C190" i="1" s="1"/>
  <c r="B192" i="3"/>
  <c r="D191" i="3"/>
  <c r="C191" i="3"/>
  <c r="G73" i="2"/>
  <c r="D190" i="1" l="1"/>
  <c r="E190" i="1" s="1"/>
  <c r="C191" i="1" s="1"/>
  <c r="C74" i="2"/>
  <c r="H73" i="2"/>
  <c r="C192" i="3"/>
  <c r="B193" i="3"/>
  <c r="D192" i="3"/>
  <c r="D191" i="1" l="1"/>
  <c r="E191" i="1" s="1"/>
  <c r="C192" i="1" s="1"/>
  <c r="D193" i="3"/>
  <c r="B194" i="3"/>
  <c r="C193" i="3"/>
  <c r="D74" i="2"/>
  <c r="E74" i="2" s="1"/>
  <c r="F74" i="2" s="1"/>
  <c r="D192" i="1" l="1"/>
  <c r="E192" i="1"/>
  <c r="C193" i="1" s="1"/>
  <c r="G74" i="2"/>
  <c r="B195" i="3"/>
  <c r="D194" i="3"/>
  <c r="C194" i="3"/>
  <c r="B196" i="3" l="1"/>
  <c r="D195" i="3"/>
  <c r="C195" i="3"/>
  <c r="D193" i="1"/>
  <c r="E193" i="1" s="1"/>
  <c r="C194" i="1" s="1"/>
  <c r="C75" i="2"/>
  <c r="H74" i="2"/>
  <c r="D194" i="1" l="1"/>
  <c r="E194" i="1" s="1"/>
  <c r="C195" i="1" s="1"/>
  <c r="D75" i="2"/>
  <c r="E75" i="2" s="1"/>
  <c r="F75" i="2" s="1"/>
  <c r="C196" i="3"/>
  <c r="B197" i="3"/>
  <c r="D196" i="3"/>
  <c r="D195" i="1" l="1"/>
  <c r="E195" i="1" s="1"/>
  <c r="C196" i="1" s="1"/>
  <c r="D197" i="3"/>
  <c r="B198" i="3"/>
  <c r="C197" i="3"/>
  <c r="G75" i="2"/>
  <c r="D196" i="1" l="1"/>
  <c r="E196" i="1" s="1"/>
  <c r="C197" i="1" s="1"/>
  <c r="C76" i="2"/>
  <c r="H75" i="2"/>
  <c r="B199" i="3"/>
  <c r="D198" i="3"/>
  <c r="C198" i="3"/>
  <c r="D197" i="1" l="1"/>
  <c r="E197" i="1" s="1"/>
  <c r="C198" i="1" s="1"/>
  <c r="B200" i="3"/>
  <c r="D199" i="3"/>
  <c r="C199" i="3"/>
  <c r="D76" i="2"/>
  <c r="D198" i="1" l="1"/>
  <c r="E198" i="1" s="1"/>
  <c r="C199" i="1" s="1"/>
  <c r="E76" i="2"/>
  <c r="F76" i="2" s="1"/>
  <c r="G76" i="2" s="1"/>
  <c r="C200" i="3"/>
  <c r="B201" i="3"/>
  <c r="D200" i="3"/>
  <c r="C77" i="2" l="1"/>
  <c r="H76" i="2"/>
  <c r="D199" i="1"/>
  <c r="E199" i="1" s="1"/>
  <c r="C200" i="1" s="1"/>
  <c r="D201" i="3"/>
  <c r="B202" i="3"/>
  <c r="C201" i="3"/>
  <c r="D200" i="1" l="1"/>
  <c r="E200" i="1" s="1"/>
  <c r="C201" i="1" s="1"/>
  <c r="B203" i="3"/>
  <c r="D202" i="3"/>
  <c r="C202" i="3"/>
  <c r="D77" i="2"/>
  <c r="E77" i="2" s="1"/>
  <c r="F77" i="2" s="1"/>
  <c r="D201" i="1" l="1"/>
  <c r="E201" i="1" s="1"/>
  <c r="C202" i="1" s="1"/>
  <c r="G77" i="2"/>
  <c r="B204" i="3"/>
  <c r="D203" i="3"/>
  <c r="C203" i="3"/>
  <c r="D202" i="1" l="1"/>
  <c r="E202" i="1" s="1"/>
  <c r="C203" i="1" s="1"/>
  <c r="C204" i="3"/>
  <c r="D204" i="3"/>
  <c r="B205" i="3"/>
  <c r="C78" i="2"/>
  <c r="H77" i="2"/>
  <c r="D203" i="1" l="1"/>
  <c r="E203" i="1" s="1"/>
  <c r="C204" i="1" s="1"/>
  <c r="D78" i="2"/>
  <c r="D205" i="3"/>
  <c r="B206" i="3"/>
  <c r="C205" i="3"/>
  <c r="D204" i="1" l="1"/>
  <c r="E204" i="1" s="1"/>
  <c r="C205" i="1" s="1"/>
  <c r="B207" i="3"/>
  <c r="D206" i="3"/>
  <c r="C206" i="3"/>
  <c r="E78" i="2"/>
  <c r="F78" i="2" s="1"/>
  <c r="G78" i="2" s="1"/>
  <c r="H78" i="2" l="1"/>
  <c r="C79" i="2"/>
  <c r="D205" i="1"/>
  <c r="E205" i="1" s="1"/>
  <c r="C206" i="1" s="1"/>
  <c r="B208" i="3"/>
  <c r="D207" i="3"/>
  <c r="C207" i="3"/>
  <c r="D206" i="1" l="1"/>
  <c r="E206" i="1"/>
  <c r="C207" i="1" s="1"/>
  <c r="C208" i="3"/>
  <c r="B209" i="3"/>
  <c r="D208" i="3"/>
  <c r="D79" i="2"/>
  <c r="E79" i="2" s="1"/>
  <c r="F79" i="2" s="1"/>
  <c r="G79" i="2" l="1"/>
  <c r="D209" i="3"/>
  <c r="B210" i="3"/>
  <c r="C209" i="3"/>
  <c r="D207" i="1"/>
  <c r="E207" i="1" s="1"/>
  <c r="C208" i="1" s="1"/>
  <c r="D208" i="1" l="1"/>
  <c r="E208" i="1" s="1"/>
  <c r="C209" i="1" s="1"/>
  <c r="D210" i="3"/>
  <c r="C210" i="3"/>
  <c r="B211" i="3"/>
  <c r="C80" i="2"/>
  <c r="H79" i="2"/>
  <c r="D209" i="1" l="1"/>
  <c r="E209" i="1"/>
  <c r="C210" i="1" s="1"/>
  <c r="B212" i="3"/>
  <c r="D211" i="3"/>
  <c r="C211" i="3"/>
  <c r="D80" i="2"/>
  <c r="E80" i="2" s="1"/>
  <c r="F80" i="2" s="1"/>
  <c r="G80" i="2" l="1"/>
  <c r="D210" i="1"/>
  <c r="E210" i="1" s="1"/>
  <c r="C211" i="1" s="1"/>
  <c r="C212" i="3"/>
  <c r="B213" i="3"/>
  <c r="D212" i="3"/>
  <c r="D211" i="1" l="1"/>
  <c r="E211" i="1" s="1"/>
  <c r="C212" i="1" s="1"/>
  <c r="D213" i="3"/>
  <c r="B214" i="3"/>
  <c r="C213" i="3"/>
  <c r="H80" i="2"/>
  <c r="C81" i="2"/>
  <c r="D212" i="1" l="1"/>
  <c r="E212" i="1" s="1"/>
  <c r="C213" i="1" s="1"/>
  <c r="D81" i="2"/>
  <c r="E81" i="2" s="1"/>
  <c r="F81" i="2" s="1"/>
  <c r="B215" i="3"/>
  <c r="D214" i="3"/>
  <c r="C214" i="3"/>
  <c r="D213" i="1" l="1"/>
  <c r="E213" i="1"/>
  <c r="C214" i="1" s="1"/>
  <c r="G81" i="2"/>
  <c r="B216" i="3"/>
  <c r="D215" i="3"/>
  <c r="C215" i="3"/>
  <c r="C216" i="3" l="1"/>
  <c r="B217" i="3"/>
  <c r="D216" i="3"/>
  <c r="C82" i="2"/>
  <c r="H81" i="2"/>
  <c r="D214" i="1"/>
  <c r="E214" i="1" s="1"/>
  <c r="C215" i="1" s="1"/>
  <c r="D215" i="1" l="1"/>
  <c r="E215" i="1" s="1"/>
  <c r="C216" i="1" s="1"/>
  <c r="D82" i="2"/>
  <c r="E82" i="2" s="1"/>
  <c r="F82" i="2" s="1"/>
  <c r="D217" i="3"/>
  <c r="B218" i="3"/>
  <c r="C217" i="3"/>
  <c r="D216" i="1" l="1"/>
  <c r="E216" i="1" s="1"/>
  <c r="C217" i="1" s="1"/>
  <c r="B219" i="3"/>
  <c r="D218" i="3"/>
  <c r="C218" i="3"/>
  <c r="G82" i="2"/>
  <c r="D217" i="1" l="1"/>
  <c r="E217" i="1" s="1"/>
  <c r="C218" i="1" s="1"/>
  <c r="C83" i="2"/>
  <c r="H82" i="2"/>
  <c r="B220" i="3"/>
  <c r="D219" i="3"/>
  <c r="C219" i="3"/>
  <c r="D218" i="1" l="1"/>
  <c r="E218" i="1" s="1"/>
  <c r="C219" i="1" s="1"/>
  <c r="C220" i="3"/>
  <c r="B221" i="3"/>
  <c r="D220" i="3"/>
  <c r="D83" i="2"/>
  <c r="E83" i="2" s="1"/>
  <c r="F83" i="2" s="1"/>
  <c r="D219" i="1" l="1"/>
  <c r="E219" i="1" s="1"/>
  <c r="C220" i="1" s="1"/>
  <c r="G83" i="2"/>
  <c r="D221" i="3"/>
  <c r="B222" i="3"/>
  <c r="C221" i="3"/>
  <c r="D220" i="1" l="1"/>
  <c r="E220" i="1" s="1"/>
  <c r="C221" i="1" s="1"/>
  <c r="B223" i="3"/>
  <c r="D222" i="3"/>
  <c r="C222" i="3"/>
  <c r="H83" i="2"/>
  <c r="C84" i="2"/>
  <c r="D221" i="1" l="1"/>
  <c r="E221" i="1" s="1"/>
  <c r="C222" i="1" s="1"/>
  <c r="D84" i="2"/>
  <c r="B224" i="3"/>
  <c r="D223" i="3"/>
  <c r="C223" i="3"/>
  <c r="D222" i="1" l="1"/>
  <c r="E222" i="1" s="1"/>
  <c r="C223" i="1" s="1"/>
  <c r="E84" i="2"/>
  <c r="F84" i="2" s="1"/>
  <c r="G84" i="2" s="1"/>
  <c r="C224" i="3"/>
  <c r="B225" i="3"/>
  <c r="D224" i="3"/>
  <c r="C85" i="2" l="1"/>
  <c r="H84" i="2"/>
  <c r="D223" i="1"/>
  <c r="E223" i="1" s="1"/>
  <c r="C224" i="1" s="1"/>
  <c r="D225" i="3"/>
  <c r="B226" i="3"/>
  <c r="C225" i="3"/>
  <c r="D224" i="1" l="1"/>
  <c r="E224" i="1" s="1"/>
  <c r="C225" i="1" s="1"/>
  <c r="C226" i="3"/>
  <c r="B227" i="3"/>
  <c r="D226" i="3"/>
  <c r="D85" i="2"/>
  <c r="D225" i="1" l="1"/>
  <c r="E225" i="1" s="1"/>
  <c r="C226" i="1" s="1"/>
  <c r="E85" i="2"/>
  <c r="F85" i="2" s="1"/>
  <c r="G85" i="2" s="1"/>
  <c r="B228" i="3"/>
  <c r="D227" i="3"/>
  <c r="C227" i="3"/>
  <c r="C86" i="2" l="1"/>
  <c r="H85" i="2"/>
  <c r="D226" i="1"/>
  <c r="E226" i="1"/>
  <c r="C227" i="1" s="1"/>
  <c r="C228" i="3"/>
  <c r="B229" i="3"/>
  <c r="D228" i="3"/>
  <c r="D227" i="1" l="1"/>
  <c r="E227" i="1"/>
  <c r="C228" i="1" s="1"/>
  <c r="D229" i="3"/>
  <c r="B230" i="3"/>
  <c r="C229" i="3"/>
  <c r="D86" i="2"/>
  <c r="E86" i="2" s="1"/>
  <c r="F86" i="2" s="1"/>
  <c r="G86" i="2" l="1"/>
  <c r="B231" i="3"/>
  <c r="D230" i="3"/>
  <c r="C230" i="3"/>
  <c r="D228" i="1"/>
  <c r="E228" i="1" s="1"/>
  <c r="C229" i="1" s="1"/>
  <c r="D229" i="1" l="1"/>
  <c r="E229" i="1" s="1"/>
  <c r="C230" i="1" s="1"/>
  <c r="B232" i="3"/>
  <c r="D231" i="3"/>
  <c r="C231" i="3"/>
  <c r="C87" i="2"/>
  <c r="H86" i="2"/>
  <c r="D230" i="1" l="1"/>
  <c r="E230" i="1" s="1"/>
  <c r="C231" i="1" s="1"/>
  <c r="D87" i="2"/>
  <c r="C232" i="3"/>
  <c r="B233" i="3"/>
  <c r="D232" i="3"/>
  <c r="D231" i="1" l="1"/>
  <c r="E231" i="1" s="1"/>
  <c r="C232" i="1" s="1"/>
  <c r="E87" i="2"/>
  <c r="F87" i="2" s="1"/>
  <c r="G87" i="2" s="1"/>
  <c r="D233" i="3"/>
  <c r="B234" i="3"/>
  <c r="C233" i="3"/>
  <c r="C88" i="2" l="1"/>
  <c r="H87" i="2"/>
  <c r="D232" i="1"/>
  <c r="E232" i="1" s="1"/>
  <c r="C233" i="1" s="1"/>
  <c r="B235" i="3"/>
  <c r="D234" i="3"/>
  <c r="C234" i="3"/>
  <c r="D233" i="1" l="1"/>
  <c r="E233" i="1"/>
  <c r="C234" i="1" s="1"/>
  <c r="B236" i="3"/>
  <c r="D235" i="3"/>
  <c r="C235" i="3"/>
  <c r="D88" i="2"/>
  <c r="E88" i="2" l="1"/>
  <c r="F88" i="2" s="1"/>
  <c r="G88" i="2" s="1"/>
  <c r="C236" i="3"/>
  <c r="B237" i="3"/>
  <c r="D236" i="3"/>
  <c r="D234" i="1"/>
  <c r="E234" i="1" s="1"/>
  <c r="C235" i="1" s="1"/>
  <c r="D235" i="1" l="1"/>
  <c r="E235" i="1"/>
  <c r="C236" i="1" s="1"/>
  <c r="C89" i="2"/>
  <c r="H88" i="2"/>
  <c r="D237" i="3"/>
  <c r="B238" i="3"/>
  <c r="C237" i="3"/>
  <c r="B239" i="3" l="1"/>
  <c r="D238" i="3"/>
  <c r="C238" i="3"/>
  <c r="D89" i="2"/>
  <c r="D236" i="1"/>
  <c r="E236" i="1" s="1"/>
  <c r="C237" i="1" s="1"/>
  <c r="D237" i="1" l="1"/>
  <c r="E237" i="1" s="1"/>
  <c r="C238" i="1" s="1"/>
  <c r="E89" i="2"/>
  <c r="F89" i="2" s="1"/>
  <c r="G89" i="2" s="1"/>
  <c r="B240" i="3"/>
  <c r="D239" i="3"/>
  <c r="C239" i="3"/>
  <c r="H89" i="2" l="1"/>
  <c r="C90" i="2"/>
  <c r="D238" i="1"/>
  <c r="E238" i="1"/>
  <c r="C239" i="1" s="1"/>
  <c r="C240" i="3"/>
  <c r="D240" i="3"/>
  <c r="B241" i="3"/>
  <c r="D241" i="3" l="1"/>
  <c r="B242" i="3"/>
  <c r="C241" i="3"/>
  <c r="D239" i="1"/>
  <c r="E239" i="1" s="1"/>
  <c r="C240" i="1" s="1"/>
  <c r="D90" i="2"/>
  <c r="D240" i="1" l="1"/>
  <c r="E240" i="1" s="1"/>
  <c r="C241" i="1" s="1"/>
  <c r="E90" i="2"/>
  <c r="F90" i="2" s="1"/>
  <c r="G90" i="2" s="1"/>
  <c r="B243" i="3"/>
  <c r="D242" i="3"/>
  <c r="C242" i="3"/>
  <c r="H90" i="2" l="1"/>
  <c r="C91" i="2"/>
  <c r="D241" i="1"/>
  <c r="E241" i="1" s="1"/>
  <c r="C242" i="1" s="1"/>
  <c r="B244" i="3"/>
  <c r="D243" i="3"/>
  <c r="C243" i="3"/>
  <c r="D242" i="1" l="1"/>
  <c r="E242" i="1" s="1"/>
  <c r="C243" i="1" s="1"/>
  <c r="C244" i="3"/>
  <c r="B245" i="3"/>
  <c r="D244" i="3"/>
  <c r="D91" i="2"/>
  <c r="D243" i="1" l="1"/>
  <c r="E243" i="1" s="1"/>
  <c r="C244" i="1" s="1"/>
  <c r="E91" i="2"/>
  <c r="F91" i="2" s="1"/>
  <c r="G91" i="2" s="1"/>
  <c r="D245" i="3"/>
  <c r="B246" i="3"/>
  <c r="C245" i="3"/>
  <c r="C92" i="2" l="1"/>
  <c r="H91" i="2"/>
  <c r="D244" i="1"/>
  <c r="E244" i="1" s="1"/>
  <c r="C245" i="1" s="1"/>
  <c r="B247" i="3"/>
  <c r="D246" i="3"/>
  <c r="C246" i="3"/>
  <c r="D245" i="1" l="1"/>
  <c r="E245" i="1"/>
  <c r="C246" i="1" s="1"/>
  <c r="C247" i="3"/>
  <c r="B248" i="3"/>
  <c r="D247" i="3"/>
  <c r="D92" i="2"/>
  <c r="E92" i="2" s="1"/>
  <c r="F92" i="2" s="1"/>
  <c r="G92" i="2" s="1"/>
  <c r="C93" i="2" l="1"/>
  <c r="H92" i="2"/>
  <c r="C248" i="3"/>
  <c r="B249" i="3"/>
  <c r="D248" i="3"/>
  <c r="D246" i="1"/>
  <c r="E246" i="1" s="1"/>
  <c r="C247" i="1" s="1"/>
  <c r="D247" i="1" l="1"/>
  <c r="E247" i="1"/>
  <c r="C248" i="1" s="1"/>
  <c r="D249" i="3"/>
  <c r="B250" i="3"/>
  <c r="C249" i="3"/>
  <c r="D93" i="2"/>
  <c r="E93" i="2" s="1"/>
  <c r="F93" i="2" s="1"/>
  <c r="G93" i="2" l="1"/>
  <c r="B251" i="3"/>
  <c r="D250" i="3"/>
  <c r="C250" i="3"/>
  <c r="D248" i="1"/>
  <c r="E248" i="1" s="1"/>
  <c r="C249" i="1" s="1"/>
  <c r="D249" i="1" l="1"/>
  <c r="E249" i="1" s="1"/>
  <c r="C250" i="1" s="1"/>
  <c r="B252" i="3"/>
  <c r="D251" i="3"/>
  <c r="C251" i="3"/>
  <c r="C94" i="2"/>
  <c r="H93" i="2"/>
  <c r="D250" i="1" l="1"/>
  <c r="E250" i="1"/>
  <c r="C251" i="1" s="1"/>
  <c r="D94" i="2"/>
  <c r="E94" i="2"/>
  <c r="F94" i="2" s="1"/>
  <c r="G94" i="2" s="1"/>
  <c r="C252" i="3"/>
  <c r="B253" i="3"/>
  <c r="D252" i="3"/>
  <c r="C95" i="2" l="1"/>
  <c r="H94" i="2"/>
  <c r="D253" i="3"/>
  <c r="B254" i="3"/>
  <c r="C253" i="3"/>
  <c r="D251" i="1"/>
  <c r="E251" i="1" s="1"/>
  <c r="C252" i="1" s="1"/>
  <c r="D252" i="1" l="1"/>
  <c r="E252" i="1" s="1"/>
  <c r="C253" i="1" s="1"/>
  <c r="B255" i="3"/>
  <c r="D254" i="3"/>
  <c r="C254" i="3"/>
  <c r="D95" i="2"/>
  <c r="D253" i="1" l="1"/>
  <c r="E253" i="1" s="1"/>
  <c r="C254" i="1" s="1"/>
  <c r="E95" i="2"/>
  <c r="F95" i="2" s="1"/>
  <c r="G95" i="2" s="1"/>
  <c r="B256" i="3"/>
  <c r="D255" i="3"/>
  <c r="C255" i="3"/>
  <c r="H95" i="2" l="1"/>
  <c r="C96" i="2"/>
  <c r="D254" i="1"/>
  <c r="E254" i="1" s="1"/>
  <c r="C255" i="1" s="1"/>
  <c r="C256" i="3"/>
  <c r="B257" i="3"/>
  <c r="D256" i="3"/>
  <c r="D255" i="1" l="1"/>
  <c r="E255" i="1" s="1"/>
  <c r="C256" i="1" s="1"/>
  <c r="D257" i="3"/>
  <c r="B258" i="3"/>
  <c r="C257" i="3"/>
  <c r="D96" i="2"/>
  <c r="D256" i="1" l="1"/>
  <c r="E256" i="1" s="1"/>
  <c r="C257" i="1" s="1"/>
  <c r="E96" i="2"/>
  <c r="F96" i="2" s="1"/>
  <c r="G96" i="2" s="1"/>
  <c r="B259" i="3"/>
  <c r="D258" i="3"/>
  <c r="C258" i="3"/>
  <c r="C97" i="2" l="1"/>
  <c r="H96" i="2"/>
  <c r="D257" i="1"/>
  <c r="E257" i="1"/>
  <c r="C258" i="1" s="1"/>
  <c r="B260" i="3"/>
  <c r="D259" i="3"/>
  <c r="C259" i="3"/>
  <c r="D258" i="1" l="1"/>
  <c r="E258" i="1" s="1"/>
  <c r="C259" i="1" s="1"/>
  <c r="C260" i="3"/>
  <c r="B261" i="3"/>
  <c r="D260" i="3"/>
  <c r="D97" i="2"/>
  <c r="D259" i="1" l="1"/>
  <c r="E259" i="1" s="1"/>
  <c r="C260" i="1" s="1"/>
  <c r="E97" i="2"/>
  <c r="F97" i="2" s="1"/>
  <c r="G97" i="2" s="1"/>
  <c r="D261" i="3"/>
  <c r="B262" i="3"/>
  <c r="C261" i="3"/>
  <c r="C98" i="2" l="1"/>
  <c r="H97" i="2"/>
  <c r="D260" i="1"/>
  <c r="E260" i="1" s="1"/>
  <c r="C261" i="1" s="1"/>
  <c r="C262" i="3"/>
  <c r="B263" i="3"/>
  <c r="D262" i="3"/>
  <c r="D261" i="1" l="1"/>
  <c r="E261" i="1" s="1"/>
  <c r="C262" i="1" s="1"/>
  <c r="B264" i="3"/>
  <c r="D263" i="3"/>
  <c r="C263" i="3"/>
  <c r="D98" i="2"/>
  <c r="D262" i="1" l="1"/>
  <c r="E262" i="1"/>
  <c r="C263" i="1" s="1"/>
  <c r="E98" i="2"/>
  <c r="F98" i="2" s="1"/>
  <c r="G98" i="2" s="1"/>
  <c r="C264" i="3"/>
  <c r="B265" i="3"/>
  <c r="D264" i="3"/>
  <c r="C99" i="2" l="1"/>
  <c r="H98" i="2"/>
  <c r="D265" i="3"/>
  <c r="B266" i="3"/>
  <c r="C265" i="3"/>
  <c r="D263" i="1"/>
  <c r="E263" i="1" s="1"/>
  <c r="C264" i="1" s="1"/>
  <c r="D264" i="1" l="1"/>
  <c r="E264" i="1"/>
  <c r="C265" i="1" s="1"/>
  <c r="B267" i="3"/>
  <c r="D266" i="3"/>
  <c r="C266" i="3"/>
  <c r="D99" i="2"/>
  <c r="E99" i="2" s="1"/>
  <c r="F99" i="2" s="1"/>
  <c r="G99" i="2" s="1"/>
  <c r="C100" i="2" l="1"/>
  <c r="H99" i="2"/>
  <c r="B268" i="3"/>
  <c r="D267" i="3"/>
  <c r="C267" i="3"/>
  <c r="D265" i="1"/>
  <c r="E265" i="1" s="1"/>
  <c r="C266" i="1" s="1"/>
  <c r="D266" i="1" l="1"/>
  <c r="E266" i="1" s="1"/>
  <c r="C267" i="1" s="1"/>
  <c r="C268" i="3"/>
  <c r="D268" i="3"/>
  <c r="B269" i="3"/>
  <c r="D100" i="2"/>
  <c r="G100" i="2" l="1"/>
  <c r="D267" i="1"/>
  <c r="E267" i="1" s="1"/>
  <c r="C268" i="1" s="1"/>
  <c r="E100" i="2"/>
  <c r="F100" i="2" s="1"/>
  <c r="D269" i="3"/>
  <c r="B270" i="3"/>
  <c r="C269" i="3"/>
  <c r="D268" i="1" l="1"/>
  <c r="E268" i="1"/>
  <c r="C269" i="1" s="1"/>
  <c r="C101" i="2"/>
  <c r="H100" i="2"/>
  <c r="B271" i="3"/>
  <c r="D270" i="3"/>
  <c r="C270" i="3"/>
  <c r="B272" i="3" l="1"/>
  <c r="D271" i="3"/>
  <c r="C271" i="3"/>
  <c r="D101" i="2"/>
  <c r="E101" i="2" s="1"/>
  <c r="F101" i="2" s="1"/>
  <c r="D269" i="1"/>
  <c r="E269" i="1" s="1"/>
  <c r="C270" i="1" s="1"/>
  <c r="D270" i="1" l="1"/>
  <c r="E270" i="1" s="1"/>
  <c r="C271" i="1" s="1"/>
  <c r="G101" i="2"/>
  <c r="C272" i="3"/>
  <c r="B273" i="3"/>
  <c r="D272" i="3"/>
  <c r="D271" i="1" l="1"/>
  <c r="E271" i="1" s="1"/>
  <c r="C272" i="1" s="1"/>
  <c r="D273" i="3"/>
  <c r="B274" i="3"/>
  <c r="C273" i="3"/>
  <c r="H101" i="2"/>
  <c r="C102" i="2"/>
  <c r="D272" i="1" l="1"/>
  <c r="E272" i="1"/>
  <c r="C273" i="1" s="1"/>
  <c r="B275" i="3"/>
  <c r="D274" i="3"/>
  <c r="C274" i="3"/>
  <c r="D102" i="2"/>
  <c r="E102" i="2" s="1"/>
  <c r="F102" i="2" s="1"/>
  <c r="G102" i="2" l="1"/>
  <c r="B276" i="3"/>
  <c r="D275" i="3"/>
  <c r="C275" i="3"/>
  <c r="D273" i="1"/>
  <c r="E273" i="1" s="1"/>
  <c r="C274" i="1" s="1"/>
  <c r="D274" i="1" l="1"/>
  <c r="E274" i="1"/>
  <c r="C275" i="1" s="1"/>
  <c r="C276" i="3"/>
  <c r="B277" i="3"/>
  <c r="D276" i="3"/>
  <c r="C103" i="2"/>
  <c r="H102" i="2"/>
  <c r="D103" i="2" l="1"/>
  <c r="E103" i="2" s="1"/>
  <c r="F103" i="2" s="1"/>
  <c r="G103" i="2" s="1"/>
  <c r="D277" i="3"/>
  <c r="B278" i="3"/>
  <c r="C277" i="3"/>
  <c r="D275" i="1"/>
  <c r="E275" i="1" s="1"/>
  <c r="C276" i="1" s="1"/>
  <c r="D276" i="1" l="1"/>
  <c r="E276" i="1" s="1"/>
  <c r="C277" i="1" s="1"/>
  <c r="C104" i="2"/>
  <c r="H103" i="2"/>
  <c r="B279" i="3"/>
  <c r="D278" i="3"/>
  <c r="C278" i="3"/>
  <c r="D277" i="1" l="1"/>
  <c r="E277" i="1" s="1"/>
  <c r="C278" i="1" s="1"/>
  <c r="B280" i="3"/>
  <c r="D279" i="3"/>
  <c r="C279" i="3"/>
  <c r="D104" i="2"/>
  <c r="E104" i="2" s="1"/>
  <c r="F104" i="2" s="1"/>
  <c r="D278" i="1" l="1"/>
  <c r="E278" i="1" s="1"/>
  <c r="C279" i="1" s="1"/>
  <c r="G104" i="2"/>
  <c r="C280" i="3"/>
  <c r="B281" i="3"/>
  <c r="D280" i="3"/>
  <c r="E279" i="1" l="1"/>
  <c r="C280" i="1" s="1"/>
  <c r="D279" i="1"/>
  <c r="D281" i="3"/>
  <c r="B282" i="3"/>
  <c r="C281" i="3"/>
  <c r="C105" i="2"/>
  <c r="H104" i="2"/>
  <c r="D105" i="2" l="1"/>
  <c r="E105" i="2" s="1"/>
  <c r="F105" i="2" s="1"/>
  <c r="G105" i="2" s="1"/>
  <c r="C282" i="3"/>
  <c r="D282" i="3"/>
  <c r="B283" i="3"/>
  <c r="D280" i="1"/>
  <c r="E280" i="1" s="1"/>
  <c r="C281" i="1" s="1"/>
  <c r="D281" i="1" l="1"/>
  <c r="E281" i="1" s="1"/>
  <c r="C282" i="1" s="1"/>
  <c r="C106" i="2"/>
  <c r="H105" i="2"/>
  <c r="B284" i="3"/>
  <c r="D283" i="3"/>
  <c r="C283" i="3"/>
  <c r="D282" i="1" l="1"/>
  <c r="E282" i="1" s="1"/>
  <c r="C283" i="1" s="1"/>
  <c r="C284" i="3"/>
  <c r="B285" i="3"/>
  <c r="D284" i="3"/>
  <c r="D106" i="2"/>
  <c r="D283" i="1" l="1"/>
  <c r="E283" i="1"/>
  <c r="C284" i="1" s="1"/>
  <c r="E106" i="2"/>
  <c r="F106" i="2" s="1"/>
  <c r="G106" i="2" s="1"/>
  <c r="D285" i="3"/>
  <c r="B286" i="3"/>
  <c r="C285" i="3"/>
  <c r="C107" i="2" l="1"/>
  <c r="H106" i="2"/>
  <c r="B287" i="3"/>
  <c r="D286" i="3"/>
  <c r="C286" i="3"/>
  <c r="D284" i="1"/>
  <c r="E284" i="1"/>
  <c r="C285" i="1" s="1"/>
  <c r="D285" i="1" l="1"/>
  <c r="E285" i="1"/>
  <c r="C286" i="1" s="1"/>
  <c r="B288" i="3"/>
  <c r="D287" i="3"/>
  <c r="C287" i="3"/>
  <c r="D107" i="2"/>
  <c r="E107" i="2" l="1"/>
  <c r="F107" i="2" s="1"/>
  <c r="G107" i="2" s="1"/>
  <c r="C288" i="3"/>
  <c r="B289" i="3"/>
  <c r="D288" i="3"/>
  <c r="D286" i="1"/>
  <c r="E286" i="1" s="1"/>
  <c r="C287" i="1" s="1"/>
  <c r="H107" i="2" l="1"/>
  <c r="C108" i="2"/>
  <c r="D287" i="1"/>
  <c r="E287" i="1" s="1"/>
  <c r="C288" i="1" s="1"/>
  <c r="D289" i="3"/>
  <c r="B290" i="3"/>
  <c r="C289" i="3"/>
  <c r="D288" i="1" l="1"/>
  <c r="E288" i="1" s="1"/>
  <c r="C289" i="1" s="1"/>
  <c r="C290" i="3"/>
  <c r="B291" i="3"/>
  <c r="D290" i="3"/>
  <c r="D108" i="2"/>
  <c r="D289" i="1" l="1"/>
  <c r="E289" i="1" s="1"/>
  <c r="C290" i="1" s="1"/>
  <c r="E108" i="2"/>
  <c r="F108" i="2" s="1"/>
  <c r="G108" i="2" s="1"/>
  <c r="B292" i="3"/>
  <c r="D291" i="3"/>
  <c r="C291" i="3"/>
  <c r="D290" i="1" l="1"/>
  <c r="E290" i="1"/>
  <c r="C291" i="1" s="1"/>
  <c r="H108" i="2"/>
  <c r="C109" i="2"/>
  <c r="C292" i="3"/>
  <c r="B293" i="3"/>
  <c r="D292" i="3"/>
  <c r="D293" i="3" l="1"/>
  <c r="B294" i="3"/>
  <c r="C293" i="3"/>
  <c r="D109" i="2"/>
  <c r="D291" i="1"/>
  <c r="E291" i="1" s="1"/>
  <c r="C292" i="1" s="1"/>
  <c r="D292" i="1" l="1"/>
  <c r="E292" i="1" s="1"/>
  <c r="C293" i="1" s="1"/>
  <c r="E109" i="2"/>
  <c r="F109" i="2" s="1"/>
  <c r="G109" i="2" s="1"/>
  <c r="B295" i="3"/>
  <c r="D294" i="3"/>
  <c r="C294" i="3"/>
  <c r="H109" i="2" l="1"/>
  <c r="C110" i="2"/>
  <c r="D293" i="1"/>
  <c r="E293" i="1" s="1"/>
  <c r="C294" i="1" s="1"/>
  <c r="C295" i="3"/>
  <c r="B296" i="3"/>
  <c r="D295" i="3"/>
  <c r="D294" i="1" l="1"/>
  <c r="E294" i="1" s="1"/>
  <c r="C295" i="1" s="1"/>
  <c r="C296" i="3"/>
  <c r="B297" i="3"/>
  <c r="D296" i="3"/>
  <c r="D110" i="2"/>
  <c r="E110" i="2" s="1"/>
  <c r="F110" i="2" s="1"/>
  <c r="G110" i="2" s="1"/>
  <c r="D295" i="1" l="1"/>
  <c r="E295" i="1"/>
  <c r="C296" i="1" s="1"/>
  <c r="C111" i="2"/>
  <c r="H110" i="2"/>
  <c r="D297" i="3"/>
  <c r="B298" i="3"/>
  <c r="C297" i="3"/>
  <c r="B299" i="3" l="1"/>
  <c r="D298" i="3"/>
  <c r="C298" i="3"/>
  <c r="D111" i="2"/>
  <c r="E111" i="2" s="1"/>
  <c r="F111" i="2" s="1"/>
  <c r="D296" i="1"/>
  <c r="E296" i="1" s="1"/>
  <c r="C297" i="1" s="1"/>
  <c r="D297" i="1" l="1"/>
  <c r="E297" i="1" s="1"/>
  <c r="C298" i="1" s="1"/>
  <c r="G111" i="2"/>
  <c r="B300" i="3"/>
  <c r="D299" i="3"/>
  <c r="C299" i="3"/>
  <c r="D298" i="1" l="1"/>
  <c r="E298" i="1"/>
  <c r="C299" i="1" s="1"/>
  <c r="C300" i="3"/>
  <c r="B301" i="3"/>
  <c r="D300" i="3"/>
  <c r="C112" i="2"/>
  <c r="H111" i="2"/>
  <c r="D112" i="2" l="1"/>
  <c r="E112" i="2"/>
  <c r="F112" i="2" s="1"/>
  <c r="G112" i="2" s="1"/>
  <c r="D301" i="3"/>
  <c r="B302" i="3"/>
  <c r="C301" i="3"/>
  <c r="D299" i="1"/>
  <c r="E299" i="1" s="1"/>
  <c r="C300" i="1" s="1"/>
  <c r="D300" i="1" l="1"/>
  <c r="E300" i="1" s="1"/>
  <c r="C301" i="1" s="1"/>
  <c r="C113" i="2"/>
  <c r="H112" i="2"/>
  <c r="B303" i="3"/>
  <c r="D302" i="3"/>
  <c r="C302" i="3"/>
  <c r="D301" i="1" l="1"/>
  <c r="E301" i="1" s="1"/>
  <c r="C302" i="1" s="1"/>
  <c r="B304" i="3"/>
  <c r="D303" i="3"/>
  <c r="C303" i="3"/>
  <c r="D113" i="2"/>
  <c r="E113" i="2" s="1"/>
  <c r="F113" i="2" s="1"/>
  <c r="D302" i="1" l="1"/>
  <c r="E302" i="1" s="1"/>
  <c r="C303" i="1" s="1"/>
  <c r="G113" i="2"/>
  <c r="C304" i="3"/>
  <c r="D304" i="3"/>
  <c r="B305" i="3"/>
  <c r="D303" i="1" l="1"/>
  <c r="E303" i="1" s="1"/>
  <c r="C304" i="1" s="1"/>
  <c r="D305" i="3"/>
  <c r="B306" i="3"/>
  <c r="C305" i="3"/>
  <c r="H113" i="2"/>
  <c r="C114" i="2"/>
  <c r="D304" i="1" l="1"/>
  <c r="E304" i="1" s="1"/>
  <c r="C305" i="1" s="1"/>
  <c r="D114" i="2"/>
  <c r="E114" i="2" s="1"/>
  <c r="F114" i="2" s="1"/>
  <c r="B307" i="3"/>
  <c r="D306" i="3"/>
  <c r="C306" i="3"/>
  <c r="D305" i="1" l="1"/>
  <c r="E305" i="1"/>
  <c r="C306" i="1" s="1"/>
  <c r="B308" i="3"/>
  <c r="D307" i="3"/>
  <c r="C307" i="3"/>
  <c r="G114" i="2"/>
  <c r="C115" i="2" l="1"/>
  <c r="H114" i="2"/>
  <c r="C308" i="3"/>
  <c r="B309" i="3"/>
  <c r="D308" i="3"/>
  <c r="D306" i="1"/>
  <c r="E306" i="1" s="1"/>
  <c r="C307" i="1" s="1"/>
  <c r="D307" i="1" l="1"/>
  <c r="E307" i="1"/>
  <c r="C308" i="1" s="1"/>
  <c r="D309" i="3"/>
  <c r="B310" i="3"/>
  <c r="C309" i="3"/>
  <c r="D115" i="2"/>
  <c r="E115" i="2" l="1"/>
  <c r="F115" i="2" s="1"/>
  <c r="G115" i="2" s="1"/>
  <c r="B311" i="3"/>
  <c r="D310" i="3"/>
  <c r="C310" i="3"/>
  <c r="D308" i="1"/>
  <c r="E308" i="1" s="1"/>
  <c r="C309" i="1" s="1"/>
  <c r="D309" i="1" l="1"/>
  <c r="E309" i="1"/>
  <c r="C310" i="1" s="1"/>
  <c r="H115" i="2"/>
  <c r="C116" i="2"/>
  <c r="C311" i="3"/>
  <c r="B312" i="3"/>
  <c r="D311" i="3"/>
  <c r="D116" i="2" l="1"/>
  <c r="C312" i="3"/>
  <c r="B313" i="3"/>
  <c r="D312" i="3"/>
  <c r="D310" i="1"/>
  <c r="E310" i="1" s="1"/>
  <c r="C311" i="1" s="1"/>
  <c r="D311" i="1" l="1"/>
  <c r="E311" i="1" s="1"/>
  <c r="C312" i="1" s="1"/>
  <c r="D313" i="3"/>
  <c r="B314" i="3"/>
  <c r="C313" i="3"/>
  <c r="E116" i="2"/>
  <c r="F116" i="2" s="1"/>
  <c r="G116" i="2" s="1"/>
  <c r="H116" i="2" l="1"/>
  <c r="C117" i="2"/>
  <c r="D312" i="1"/>
  <c r="E312" i="1" s="1"/>
  <c r="C313" i="1" s="1"/>
  <c r="B315" i="3"/>
  <c r="C314" i="3"/>
  <c r="D314" i="3"/>
  <c r="D313" i="1" l="1"/>
  <c r="E313" i="1" s="1"/>
  <c r="C314" i="1" s="1"/>
  <c r="D117" i="2"/>
  <c r="E117" i="2" s="1"/>
  <c r="F117" i="2" s="1"/>
  <c r="B316" i="3"/>
  <c r="D315" i="3"/>
  <c r="C315" i="3"/>
  <c r="D314" i="1" l="1"/>
  <c r="E314" i="1"/>
  <c r="C315" i="1" s="1"/>
  <c r="C316" i="3"/>
  <c r="B317" i="3"/>
  <c r="D316" i="3"/>
  <c r="G117" i="2"/>
  <c r="D317" i="3" l="1"/>
  <c r="B318" i="3"/>
  <c r="C317" i="3"/>
  <c r="H117" i="2"/>
  <c r="C118" i="2"/>
  <c r="D315" i="1"/>
  <c r="E315" i="1" s="1"/>
  <c r="C316" i="1" s="1"/>
  <c r="D316" i="1" l="1"/>
  <c r="E316" i="1"/>
  <c r="C317" i="1" s="1"/>
  <c r="D118" i="2"/>
  <c r="B319" i="3"/>
  <c r="D318" i="3"/>
  <c r="C318" i="3"/>
  <c r="B320" i="3" l="1"/>
  <c r="D319" i="3"/>
  <c r="C319" i="3"/>
  <c r="E118" i="2"/>
  <c r="F118" i="2" s="1"/>
  <c r="G118" i="2" s="1"/>
  <c r="D317" i="1"/>
  <c r="E317" i="1"/>
  <c r="C318" i="1" s="1"/>
  <c r="C119" i="2" l="1"/>
  <c r="H118" i="2"/>
  <c r="D318" i="1"/>
  <c r="E318" i="1" s="1"/>
  <c r="C319" i="1" s="1"/>
  <c r="C320" i="3"/>
  <c r="B321" i="3"/>
  <c r="D320" i="3"/>
  <c r="D319" i="1" l="1"/>
  <c r="E319" i="1" s="1"/>
  <c r="C320" i="1" s="1"/>
  <c r="D321" i="3"/>
  <c r="B322" i="3"/>
  <c r="C321" i="3"/>
  <c r="D119" i="2"/>
  <c r="E119" i="2" s="1"/>
  <c r="F119" i="2" s="1"/>
  <c r="D320" i="1" l="1"/>
  <c r="E320" i="1" s="1"/>
  <c r="C321" i="1" s="1"/>
  <c r="G119" i="2"/>
  <c r="B323" i="3"/>
  <c r="D322" i="3"/>
  <c r="C322" i="3"/>
  <c r="E321" i="1" l="1"/>
  <c r="C322" i="1" s="1"/>
  <c r="D321" i="1"/>
  <c r="H119" i="2"/>
  <c r="C120" i="2"/>
  <c r="B324" i="3"/>
  <c r="D323" i="3"/>
  <c r="C323" i="3"/>
  <c r="D322" i="1" l="1"/>
  <c r="E322" i="1" s="1"/>
  <c r="C323" i="1" s="1"/>
  <c r="D120" i="2"/>
  <c r="C324" i="3"/>
  <c r="B325" i="3"/>
  <c r="D324" i="3"/>
  <c r="D323" i="1" l="1"/>
  <c r="E323" i="1"/>
  <c r="C324" i="1" s="1"/>
  <c r="D325" i="3"/>
  <c r="B326" i="3"/>
  <c r="C325" i="3"/>
  <c r="E120" i="2"/>
  <c r="F120" i="2" s="1"/>
  <c r="G120" i="2" s="1"/>
  <c r="H120" i="2" l="1"/>
  <c r="C121" i="2"/>
  <c r="B327" i="3"/>
  <c r="D326" i="3"/>
  <c r="C326" i="3"/>
  <c r="D324" i="1"/>
  <c r="E324" i="1" s="1"/>
  <c r="C325" i="1" s="1"/>
  <c r="D325" i="1" l="1"/>
  <c r="E325" i="1" s="1"/>
  <c r="C326" i="1" s="1"/>
  <c r="B328" i="3"/>
  <c r="D327" i="3"/>
  <c r="C327" i="3"/>
  <c r="D121" i="2"/>
  <c r="E121" i="2" s="1"/>
  <c r="F121" i="2" s="1"/>
  <c r="D326" i="1" l="1"/>
  <c r="E326" i="1" s="1"/>
  <c r="C327" i="1" s="1"/>
  <c r="G121" i="2"/>
  <c r="C328" i="3"/>
  <c r="B329" i="3"/>
  <c r="D328" i="3"/>
  <c r="D327" i="1" l="1"/>
  <c r="E327" i="1" s="1"/>
  <c r="C328" i="1" s="1"/>
  <c r="D329" i="3"/>
  <c r="B330" i="3"/>
  <c r="C329" i="3"/>
  <c r="H121" i="2"/>
  <c r="C122" i="2"/>
  <c r="D328" i="1" l="1"/>
  <c r="E328" i="1" s="1"/>
  <c r="C329" i="1" s="1"/>
  <c r="B331" i="3"/>
  <c r="D330" i="3"/>
  <c r="C330" i="3"/>
  <c r="D122" i="2"/>
  <c r="E122" i="2" s="1"/>
  <c r="F122" i="2" s="1"/>
  <c r="D329" i="1" l="1"/>
  <c r="E329" i="1"/>
  <c r="C330" i="1" s="1"/>
  <c r="G122" i="2"/>
  <c r="B332" i="3"/>
  <c r="D331" i="3"/>
  <c r="C331" i="3"/>
  <c r="C332" i="3" l="1"/>
  <c r="D332" i="3"/>
  <c r="B333" i="3"/>
  <c r="H122" i="2"/>
  <c r="C123" i="2"/>
  <c r="D330" i="1"/>
  <c r="E330" i="1" s="1"/>
  <c r="C331" i="1" s="1"/>
  <c r="D331" i="1" l="1"/>
  <c r="E331" i="1"/>
  <c r="C332" i="1" s="1"/>
  <c r="D123" i="2"/>
  <c r="G123" i="2" s="1"/>
  <c r="E123" i="2"/>
  <c r="F123" i="2" s="1"/>
  <c r="D333" i="3"/>
  <c r="B334" i="3"/>
  <c r="C333" i="3"/>
  <c r="C124" i="2" l="1"/>
  <c r="H123" i="2"/>
  <c r="B335" i="3"/>
  <c r="D334" i="3"/>
  <c r="C334" i="3"/>
  <c r="D332" i="1"/>
  <c r="E332" i="1" s="1"/>
  <c r="C333" i="1" s="1"/>
  <c r="D333" i="1" l="1"/>
  <c r="E333" i="1"/>
  <c r="C334" i="1" s="1"/>
  <c r="B336" i="3"/>
  <c r="D335" i="3"/>
  <c r="C335" i="3"/>
  <c r="D124" i="2"/>
  <c r="E124" i="2" s="1"/>
  <c r="F124" i="2" s="1"/>
  <c r="G124" i="2" s="1"/>
  <c r="C125" i="2" l="1"/>
  <c r="H124" i="2"/>
  <c r="C336" i="3"/>
  <c r="B337" i="3"/>
  <c r="D336" i="3"/>
  <c r="D334" i="1"/>
  <c r="E334" i="1"/>
  <c r="C335" i="1" s="1"/>
  <c r="D335" i="1" l="1"/>
  <c r="E335" i="1"/>
  <c r="C336" i="1" s="1"/>
  <c r="D337" i="3"/>
  <c r="B338" i="3"/>
  <c r="C337" i="3"/>
  <c r="D125" i="2"/>
  <c r="E125" i="2"/>
  <c r="F125" i="2" s="1"/>
  <c r="G125" i="2" s="1"/>
  <c r="H125" i="2" l="1"/>
  <c r="C126" i="2"/>
  <c r="C338" i="3"/>
  <c r="B339" i="3"/>
  <c r="D338" i="3"/>
  <c r="D336" i="1"/>
  <c r="E336" i="1" s="1"/>
  <c r="C337" i="1" s="1"/>
  <c r="D337" i="1" l="1"/>
  <c r="E337" i="1"/>
  <c r="C338" i="1" s="1"/>
  <c r="B340" i="3"/>
  <c r="D339" i="3"/>
  <c r="C339" i="3"/>
  <c r="D126" i="2"/>
  <c r="E126" i="2" l="1"/>
  <c r="F126" i="2" s="1"/>
  <c r="G126" i="2" s="1"/>
  <c r="C340" i="3"/>
  <c r="B341" i="3"/>
  <c r="D340" i="3"/>
  <c r="D338" i="1"/>
  <c r="E338" i="1"/>
  <c r="C339" i="1" s="1"/>
  <c r="C127" i="2" l="1"/>
  <c r="H126" i="2"/>
  <c r="D339" i="1"/>
  <c r="E339" i="1" s="1"/>
  <c r="C340" i="1" s="1"/>
  <c r="D341" i="3"/>
  <c r="B342" i="3"/>
  <c r="C341" i="3"/>
  <c r="D340" i="1" l="1"/>
  <c r="E340" i="1" s="1"/>
  <c r="C341" i="1" s="1"/>
  <c r="B343" i="3"/>
  <c r="D342" i="3"/>
  <c r="C342" i="3"/>
  <c r="D127" i="2"/>
  <c r="D341" i="1" l="1"/>
  <c r="E341" i="1"/>
  <c r="C342" i="1" s="1"/>
  <c r="B344" i="3"/>
  <c r="D343" i="3"/>
  <c r="C343" i="3"/>
  <c r="E127" i="2"/>
  <c r="F127" i="2" s="1"/>
  <c r="G127" i="2" s="1"/>
  <c r="C128" i="2" l="1"/>
  <c r="H127" i="2"/>
  <c r="C344" i="3"/>
  <c r="B345" i="3"/>
  <c r="D344" i="3"/>
  <c r="D342" i="1"/>
  <c r="E342" i="1" s="1"/>
  <c r="C343" i="1" s="1"/>
  <c r="D343" i="1" l="1"/>
  <c r="E343" i="1"/>
  <c r="C344" i="1" s="1"/>
  <c r="D345" i="3"/>
  <c r="B346" i="3"/>
  <c r="C345" i="3"/>
  <c r="D128" i="2"/>
  <c r="E128" i="2" l="1"/>
  <c r="F128" i="2" s="1"/>
  <c r="G128" i="2" s="1"/>
  <c r="B347" i="3"/>
  <c r="D346" i="3"/>
  <c r="C346" i="3"/>
  <c r="D344" i="1"/>
  <c r="E344" i="1"/>
  <c r="C345" i="1" s="1"/>
  <c r="H128" i="2" l="1"/>
  <c r="C129" i="2"/>
  <c r="D345" i="1"/>
  <c r="E345" i="1" s="1"/>
  <c r="C346" i="1" s="1"/>
  <c r="B348" i="3"/>
  <c r="D347" i="3"/>
  <c r="C347" i="3"/>
  <c r="D346" i="1" l="1"/>
  <c r="E346" i="1" s="1"/>
  <c r="C347" i="1" s="1"/>
  <c r="C348" i="3"/>
  <c r="B349" i="3"/>
  <c r="D348" i="3"/>
  <c r="D129" i="2"/>
  <c r="E129" i="2" s="1"/>
  <c r="F129" i="2" s="1"/>
  <c r="G129" i="2" s="1"/>
  <c r="C130" i="2" l="1"/>
  <c r="H129" i="2"/>
  <c r="D347" i="1"/>
  <c r="E347" i="1"/>
  <c r="C348" i="1" s="1"/>
  <c r="D349" i="3"/>
  <c r="B350" i="3"/>
  <c r="C349" i="3"/>
  <c r="B351" i="3" l="1"/>
  <c r="D350" i="3"/>
  <c r="C350" i="3"/>
  <c r="D348" i="1"/>
  <c r="E348" i="1" s="1"/>
  <c r="C349" i="1" s="1"/>
  <c r="D130" i="2"/>
  <c r="E130" i="2" s="1"/>
  <c r="F130" i="2" s="1"/>
  <c r="D349" i="1" l="1"/>
  <c r="E349" i="1"/>
  <c r="C350" i="1" s="1"/>
  <c r="G130" i="2"/>
  <c r="B352" i="3"/>
  <c r="D351" i="3"/>
  <c r="C351" i="3"/>
  <c r="C352" i="3" l="1"/>
  <c r="B353" i="3"/>
  <c r="D352" i="3"/>
  <c r="H130" i="2"/>
  <c r="C131" i="2"/>
  <c r="D350" i="1"/>
  <c r="E350" i="1"/>
  <c r="C351" i="1" s="1"/>
  <c r="D351" i="1" l="1"/>
  <c r="E351" i="1" s="1"/>
  <c r="C352" i="1" s="1"/>
  <c r="D131" i="2"/>
  <c r="D353" i="3"/>
  <c r="B354" i="3"/>
  <c r="C353" i="3"/>
  <c r="D352" i="1" l="1"/>
  <c r="E352" i="1" s="1"/>
  <c r="C353" i="1" s="1"/>
  <c r="C354" i="3"/>
  <c r="D354" i="3"/>
  <c r="B355" i="3"/>
  <c r="E131" i="2"/>
  <c r="F131" i="2" s="1"/>
  <c r="G131" i="2" s="1"/>
  <c r="C132" i="2" l="1"/>
  <c r="H131" i="2"/>
  <c r="D353" i="1"/>
  <c r="E353" i="1" s="1"/>
  <c r="C354" i="1" s="1"/>
  <c r="B356" i="3"/>
  <c r="D355" i="3"/>
  <c r="C355" i="3"/>
  <c r="D354" i="1" l="1"/>
  <c r="E354" i="1"/>
  <c r="C355" i="1" s="1"/>
  <c r="C356" i="3"/>
  <c r="B357" i="3"/>
  <c r="D356" i="3"/>
  <c r="D132" i="2"/>
  <c r="E132" i="2" l="1"/>
  <c r="F132" i="2" s="1"/>
  <c r="G132" i="2" s="1"/>
  <c r="D357" i="3"/>
  <c r="B358" i="3"/>
  <c r="C357" i="3"/>
  <c r="D355" i="1"/>
  <c r="E355" i="1" s="1"/>
  <c r="C356" i="1" s="1"/>
  <c r="D356" i="1" l="1"/>
  <c r="E356" i="1" s="1"/>
  <c r="C357" i="1" s="1"/>
  <c r="H132" i="2"/>
  <c r="C133" i="2"/>
  <c r="B359" i="3"/>
  <c r="D358" i="3"/>
  <c r="C358" i="3"/>
  <c r="D357" i="1" l="1"/>
  <c r="E357" i="1"/>
  <c r="C358" i="1" s="1"/>
  <c r="B360" i="3"/>
  <c r="D359" i="3"/>
  <c r="C359" i="3"/>
  <c r="D133" i="2"/>
  <c r="G133" i="2" s="1"/>
  <c r="E133" i="2"/>
  <c r="F133" i="2" s="1"/>
  <c r="H133" i="2" l="1"/>
  <c r="C134" i="2"/>
  <c r="C360" i="3"/>
  <c r="B361" i="3"/>
  <c r="D360" i="3"/>
  <c r="D358" i="1"/>
  <c r="E358" i="1" s="1"/>
  <c r="C359" i="1" s="1"/>
  <c r="D359" i="1" l="1"/>
  <c r="E359" i="1" s="1"/>
  <c r="C360" i="1" s="1"/>
  <c r="D361" i="3"/>
  <c r="B362" i="3"/>
  <c r="C361" i="3"/>
  <c r="D134" i="2"/>
  <c r="G134" i="2" s="1"/>
  <c r="E134" i="2"/>
  <c r="F134" i="2" s="1"/>
  <c r="H134" i="2" l="1"/>
  <c r="C135" i="2"/>
  <c r="D360" i="1"/>
  <c r="E360" i="1"/>
  <c r="C361" i="1" s="1"/>
  <c r="B363" i="3"/>
  <c r="D362" i="3"/>
  <c r="C362" i="3"/>
  <c r="B364" i="3" l="1"/>
  <c r="D363" i="3"/>
  <c r="C363" i="3"/>
  <c r="D361" i="1"/>
  <c r="E361" i="1" s="1"/>
  <c r="C362" i="1" s="1"/>
  <c r="D135" i="2"/>
  <c r="E135" i="2"/>
  <c r="F135" i="2" s="1"/>
  <c r="G135" i="2" s="1"/>
  <c r="H135" i="2" l="1"/>
  <c r="C136" i="2"/>
  <c r="D362" i="1"/>
  <c r="E362" i="1" s="1"/>
  <c r="C363" i="1" s="1"/>
  <c r="C364" i="3"/>
  <c r="B365" i="3"/>
  <c r="D364" i="3"/>
  <c r="D363" i="1" l="1"/>
  <c r="E363" i="1" s="1"/>
  <c r="C364" i="1" s="1"/>
  <c r="D365" i="3"/>
  <c r="B366" i="3"/>
  <c r="C365" i="3"/>
  <c r="D136" i="2"/>
  <c r="D364" i="1" l="1"/>
  <c r="E364" i="1" s="1"/>
  <c r="C365" i="1" s="1"/>
  <c r="B367" i="3"/>
  <c r="D366" i="3"/>
  <c r="C366" i="3"/>
  <c r="E136" i="2"/>
  <c r="F136" i="2" s="1"/>
  <c r="G136" i="2" s="1"/>
  <c r="H136" i="2" l="1"/>
  <c r="C137" i="2"/>
  <c r="D365" i="1"/>
  <c r="E365" i="1" s="1"/>
  <c r="C366" i="1" s="1"/>
  <c r="B368" i="3"/>
  <c r="D367" i="3"/>
  <c r="C367" i="3"/>
  <c r="D366" i="1" l="1"/>
  <c r="E366" i="1"/>
  <c r="C367" i="1" s="1"/>
  <c r="C368" i="3"/>
  <c r="D368" i="3"/>
  <c r="B369" i="3"/>
  <c r="D137" i="2"/>
  <c r="E137" i="2"/>
  <c r="F137" i="2" s="1"/>
  <c r="G137" i="2" s="1"/>
  <c r="C138" i="2" l="1"/>
  <c r="H137" i="2"/>
  <c r="D369" i="3"/>
  <c r="B370" i="3"/>
  <c r="C369" i="3"/>
  <c r="D367" i="1"/>
  <c r="E367" i="1" s="1"/>
  <c r="C368" i="1" s="1"/>
  <c r="D368" i="1" l="1"/>
  <c r="E368" i="1" s="1"/>
  <c r="C369" i="1" s="1"/>
  <c r="D138" i="2"/>
  <c r="E138" i="2" s="1"/>
  <c r="F138" i="2" s="1"/>
  <c r="B371" i="3"/>
  <c r="D370" i="3"/>
  <c r="C370" i="3"/>
  <c r="D369" i="1" l="1"/>
  <c r="E369" i="1" s="1"/>
  <c r="C370" i="1" s="1"/>
  <c r="G138" i="2"/>
  <c r="B372" i="3"/>
  <c r="D371" i="3"/>
  <c r="C371" i="3"/>
  <c r="D370" i="1" l="1"/>
  <c r="E370" i="1" s="1"/>
  <c r="C371" i="1" s="1"/>
  <c r="C372" i="3"/>
  <c r="B373" i="3"/>
  <c r="D372" i="3"/>
  <c r="C139" i="2"/>
  <c r="H138" i="2"/>
  <c r="D371" i="1" l="1"/>
  <c r="E371" i="1" s="1"/>
  <c r="C372" i="1" s="1"/>
  <c r="D139" i="2"/>
  <c r="E139" i="2" s="1"/>
  <c r="F139" i="2" s="1"/>
  <c r="D373" i="3"/>
  <c r="B374" i="3"/>
  <c r="C373" i="3"/>
  <c r="D372" i="1" l="1"/>
  <c r="E372" i="1" s="1"/>
  <c r="C373" i="1" s="1"/>
  <c r="B375" i="3"/>
  <c r="D374" i="3"/>
  <c r="C374" i="3"/>
  <c r="G139" i="2"/>
  <c r="D373" i="1" l="1"/>
  <c r="E373" i="1" s="1"/>
  <c r="C374" i="1" s="1"/>
  <c r="C375" i="3"/>
  <c r="B376" i="3"/>
  <c r="D375" i="3"/>
  <c r="C140" i="2"/>
  <c r="H139" i="2"/>
  <c r="D374" i="1" l="1"/>
  <c r="E374" i="1" s="1"/>
  <c r="C375" i="1" s="1"/>
  <c r="D140" i="2"/>
  <c r="C376" i="3"/>
  <c r="B377" i="3"/>
  <c r="D376" i="3"/>
  <c r="D375" i="1" l="1"/>
  <c r="E375" i="1"/>
  <c r="C376" i="1" s="1"/>
  <c r="D377" i="3"/>
  <c r="B378" i="3"/>
  <c r="C377" i="3"/>
  <c r="E140" i="2"/>
  <c r="F140" i="2" s="1"/>
  <c r="G140" i="2" s="1"/>
  <c r="C141" i="2" l="1"/>
  <c r="H140" i="2"/>
  <c r="B379" i="3"/>
  <c r="D378" i="3"/>
  <c r="C378" i="3"/>
  <c r="D376" i="1"/>
  <c r="E376" i="1" s="1"/>
  <c r="C377" i="1" s="1"/>
  <c r="D377" i="1" l="1"/>
  <c r="E377" i="1" s="1"/>
  <c r="C378" i="1" s="1"/>
  <c r="B380" i="3"/>
  <c r="D379" i="3"/>
  <c r="C379" i="3"/>
  <c r="D141" i="2"/>
  <c r="E141" i="2" s="1"/>
  <c r="F141" i="2" s="1"/>
  <c r="D378" i="1" l="1"/>
  <c r="E378" i="1" s="1"/>
  <c r="C379" i="1" s="1"/>
  <c r="G141" i="2"/>
  <c r="C380" i="3"/>
  <c r="B381" i="3"/>
  <c r="D380" i="3"/>
  <c r="D379" i="1" l="1"/>
  <c r="E379" i="1" s="1"/>
  <c r="C380" i="1" s="1"/>
  <c r="D381" i="3"/>
  <c r="B382" i="3"/>
  <c r="C381" i="3"/>
  <c r="C142" i="2"/>
  <c r="H141" i="2"/>
  <c r="D380" i="1" l="1"/>
  <c r="E380" i="1" s="1"/>
  <c r="C381" i="1" s="1"/>
  <c r="D142" i="2"/>
  <c r="E142" i="2" s="1"/>
  <c r="F142" i="2" s="1"/>
  <c r="B383" i="3"/>
  <c r="D382" i="3"/>
  <c r="C382" i="3"/>
  <c r="D381" i="1" l="1"/>
  <c r="E381" i="1"/>
  <c r="C382" i="1" s="1"/>
  <c r="B384" i="3"/>
  <c r="D383" i="3"/>
  <c r="C383" i="3"/>
  <c r="G142" i="2"/>
  <c r="C384" i="3" l="1"/>
  <c r="B385" i="3"/>
  <c r="D384" i="3"/>
  <c r="C143" i="2"/>
  <c r="H142" i="2"/>
  <c r="D382" i="1"/>
  <c r="E382" i="1" s="1"/>
  <c r="C383" i="1" s="1"/>
  <c r="D383" i="1" l="1"/>
  <c r="E383" i="1" s="1"/>
  <c r="C384" i="1" s="1"/>
  <c r="D385" i="3"/>
  <c r="B386" i="3"/>
  <c r="C385" i="3"/>
  <c r="D143" i="2"/>
  <c r="D384" i="1" l="1"/>
  <c r="E384" i="1" s="1"/>
  <c r="C385" i="1" s="1"/>
  <c r="E143" i="2"/>
  <c r="F143" i="2" s="1"/>
  <c r="G143" i="2" s="1"/>
  <c r="B387" i="3"/>
  <c r="D386" i="3"/>
  <c r="C386" i="3"/>
  <c r="C144" i="2" l="1"/>
  <c r="H143" i="2"/>
  <c r="D385" i="1"/>
  <c r="E385" i="1" s="1"/>
  <c r="C386" i="1" s="1"/>
  <c r="B388" i="3"/>
  <c r="D387" i="3"/>
  <c r="C387" i="3"/>
  <c r="D386" i="1" l="1"/>
  <c r="E386" i="1"/>
  <c r="C387" i="1" s="1"/>
  <c r="C388" i="3"/>
  <c r="B389" i="3"/>
  <c r="D388" i="3"/>
  <c r="D144" i="2"/>
  <c r="E144" i="2"/>
  <c r="F144" i="2" s="1"/>
  <c r="G144" i="2" s="1"/>
  <c r="C145" i="2" l="1"/>
  <c r="H144" i="2"/>
  <c r="D389" i="3"/>
  <c r="B390" i="3"/>
  <c r="C389" i="3"/>
  <c r="D387" i="1"/>
  <c r="E387" i="1" s="1"/>
  <c r="C388" i="1" s="1"/>
  <c r="D388" i="1" l="1"/>
  <c r="E388" i="1" s="1"/>
  <c r="C389" i="1" s="1"/>
  <c r="B391" i="3"/>
  <c r="D390" i="3"/>
  <c r="C390" i="3"/>
  <c r="D145" i="2"/>
  <c r="E145" i="2" s="1"/>
  <c r="F145" i="2" s="1"/>
  <c r="D389" i="1" l="1"/>
  <c r="E389" i="1" s="1"/>
  <c r="C390" i="1" s="1"/>
  <c r="G145" i="2"/>
  <c r="B392" i="3"/>
  <c r="D391" i="3"/>
  <c r="C391" i="3"/>
  <c r="D390" i="1" l="1"/>
  <c r="E390" i="1" s="1"/>
  <c r="C391" i="1" s="1"/>
  <c r="C392" i="3"/>
  <c r="B393" i="3"/>
  <c r="D392" i="3"/>
  <c r="H145" i="2"/>
  <c r="C146" i="2"/>
  <c r="D391" i="1" l="1"/>
  <c r="E391" i="1" s="1"/>
  <c r="C392" i="1" s="1"/>
  <c r="D393" i="3"/>
  <c r="B394" i="3"/>
  <c r="C393" i="3"/>
  <c r="D146" i="2"/>
  <c r="E146" i="2" s="1"/>
  <c r="F146" i="2" s="1"/>
  <c r="D392" i="1" l="1"/>
  <c r="E392" i="1"/>
  <c r="C393" i="1" s="1"/>
  <c r="G146" i="2"/>
  <c r="B395" i="3"/>
  <c r="D394" i="3"/>
  <c r="C394" i="3"/>
  <c r="C147" i="2" l="1"/>
  <c r="H146" i="2"/>
  <c r="B396" i="3"/>
  <c r="D395" i="3"/>
  <c r="C395" i="3"/>
  <c r="D393" i="1"/>
  <c r="E393" i="1" s="1"/>
  <c r="C394" i="1" s="1"/>
  <c r="D394" i="1" l="1"/>
  <c r="E394" i="1" s="1"/>
  <c r="C395" i="1" s="1"/>
  <c r="C396" i="3"/>
  <c r="D396" i="3"/>
  <c r="B397" i="3"/>
  <c r="D147" i="2"/>
  <c r="G147" i="2" s="1"/>
  <c r="E147" i="2"/>
  <c r="F147" i="2" s="1"/>
  <c r="C148" i="2" l="1"/>
  <c r="H147" i="2"/>
  <c r="D395" i="1"/>
  <c r="E395" i="1" s="1"/>
  <c r="C396" i="1" s="1"/>
  <c r="D397" i="3"/>
  <c r="B398" i="3"/>
  <c r="C397" i="3"/>
  <c r="D396" i="1" l="1"/>
  <c r="E396" i="1" s="1"/>
  <c r="C397" i="1" s="1"/>
  <c r="B399" i="3"/>
  <c r="D398" i="3"/>
  <c r="C398" i="3"/>
  <c r="D148" i="2"/>
  <c r="D397" i="1" l="1"/>
  <c r="E397" i="1" s="1"/>
  <c r="C398" i="1" s="1"/>
  <c r="E148" i="2"/>
  <c r="F148" i="2" s="1"/>
  <c r="G148" i="2" s="1"/>
  <c r="B400" i="3"/>
  <c r="D399" i="3"/>
  <c r="C399" i="3"/>
  <c r="C149" i="2" l="1"/>
  <c r="H148" i="2"/>
  <c r="D398" i="1"/>
  <c r="E398" i="1" s="1"/>
  <c r="C399" i="1" s="1"/>
  <c r="C400" i="3"/>
  <c r="B401" i="3"/>
  <c r="D400" i="3"/>
  <c r="D399" i="1" l="1"/>
  <c r="E399" i="1" s="1"/>
  <c r="C400" i="1" s="1"/>
  <c r="D401" i="3"/>
  <c r="B402" i="3"/>
  <c r="C401" i="3"/>
  <c r="D149" i="2"/>
  <c r="D400" i="1" l="1"/>
  <c r="E400" i="1" s="1"/>
  <c r="C401" i="1" s="1"/>
  <c r="E149" i="2"/>
  <c r="F149" i="2" s="1"/>
  <c r="G149" i="2" s="1"/>
  <c r="B403" i="3"/>
  <c r="D402" i="3"/>
  <c r="C402" i="3"/>
  <c r="C150" i="2" l="1"/>
  <c r="H149" i="2"/>
  <c r="D401" i="1"/>
  <c r="E401" i="1" s="1"/>
  <c r="C402" i="1" s="1"/>
  <c r="B404" i="3"/>
  <c r="D403" i="3"/>
  <c r="C403" i="3"/>
  <c r="D402" i="1" l="1"/>
  <c r="E402" i="1" s="1"/>
  <c r="C403" i="1" s="1"/>
  <c r="C404" i="3"/>
  <c r="B405" i="3"/>
  <c r="D404" i="3"/>
  <c r="D150" i="2"/>
  <c r="G150" i="2" l="1"/>
  <c r="D403" i="1"/>
  <c r="E403" i="1" s="1"/>
  <c r="C404" i="1" s="1"/>
  <c r="E150" i="2"/>
  <c r="F150" i="2" s="1"/>
  <c r="D405" i="3"/>
  <c r="B406" i="3"/>
  <c r="C405" i="3"/>
  <c r="D404" i="1" l="1"/>
  <c r="E404" i="1" s="1"/>
  <c r="C405" i="1" s="1"/>
  <c r="C151" i="2"/>
  <c r="H150" i="2"/>
  <c r="B407" i="3"/>
  <c r="D406" i="3"/>
  <c r="C406" i="3"/>
  <c r="D405" i="1" l="1"/>
  <c r="E405" i="1" s="1"/>
  <c r="C406" i="1" s="1"/>
  <c r="B408" i="3"/>
  <c r="D407" i="3"/>
  <c r="C407" i="3"/>
  <c r="D151" i="2"/>
  <c r="E151" i="2" s="1"/>
  <c r="F151" i="2" s="1"/>
  <c r="G151" i="2" s="1"/>
  <c r="C152" i="2" l="1"/>
  <c r="H151" i="2"/>
  <c r="D406" i="1"/>
  <c r="E406" i="1" s="1"/>
  <c r="C407" i="1" s="1"/>
  <c r="C408" i="3"/>
  <c r="B409" i="3"/>
  <c r="D408" i="3"/>
  <c r="D407" i="1" l="1"/>
  <c r="E407" i="1" s="1"/>
  <c r="C408" i="1" s="1"/>
  <c r="D409" i="3"/>
  <c r="C409" i="3"/>
  <c r="E152" i="2"/>
  <c r="F152" i="2" s="1"/>
  <c r="D152" i="2"/>
  <c r="G152" i="2" s="1"/>
  <c r="H152" i="2" l="1"/>
  <c r="C153" i="2"/>
  <c r="D408" i="1"/>
  <c r="E408" i="1" s="1"/>
  <c r="C409" i="1" s="1"/>
  <c r="D409" i="1" l="1"/>
  <c r="E409" i="1" s="1"/>
  <c r="D153" i="2"/>
  <c r="E153" i="2" s="1"/>
  <c r="F153" i="2" s="1"/>
  <c r="G153" i="2" l="1"/>
  <c r="C154" i="2" l="1"/>
  <c r="H153" i="2"/>
  <c r="D154" i="2" l="1"/>
  <c r="E154" i="2" s="1"/>
  <c r="F154" i="2" s="1"/>
  <c r="G154" i="2" l="1"/>
  <c r="C155" i="2" l="1"/>
  <c r="H154" i="2"/>
  <c r="D155" i="2" l="1"/>
  <c r="E155" i="2" s="1"/>
  <c r="F155" i="2" s="1"/>
  <c r="G155" i="2" l="1"/>
  <c r="C156" i="2" l="1"/>
  <c r="H155" i="2"/>
  <c r="D156" i="2" l="1"/>
  <c r="E156" i="2" s="1"/>
  <c r="F156" i="2" s="1"/>
  <c r="G156" i="2" l="1"/>
  <c r="C157" i="2" l="1"/>
  <c r="H156" i="2"/>
  <c r="D157" i="2" l="1"/>
  <c r="E157" i="2" s="1"/>
  <c r="F157" i="2" s="1"/>
  <c r="G157" i="2" l="1"/>
  <c r="H157" i="2" l="1"/>
  <c r="C158" i="2"/>
  <c r="D158" i="2" l="1"/>
  <c r="E158" i="2" l="1"/>
  <c r="F158" i="2" s="1"/>
  <c r="G158" i="2" s="1"/>
  <c r="H158" i="2" l="1"/>
  <c r="C159" i="2"/>
  <c r="D159" i="2" l="1"/>
  <c r="E159" i="2"/>
  <c r="F159" i="2" s="1"/>
  <c r="G159" i="2" s="1"/>
  <c r="H159" i="2" l="1"/>
  <c r="C160" i="2"/>
  <c r="D160" i="2" l="1"/>
  <c r="E160" i="2" l="1"/>
  <c r="F160" i="2" s="1"/>
  <c r="G160" i="2" s="1"/>
  <c r="C161" i="2" l="1"/>
  <c r="H160" i="2"/>
  <c r="D161" i="2" l="1"/>
  <c r="E161" i="2" l="1"/>
  <c r="F161" i="2" s="1"/>
  <c r="G161" i="2" s="1"/>
  <c r="C162" i="2" l="1"/>
  <c r="H161" i="2"/>
  <c r="D162" i="2" l="1"/>
  <c r="E162" i="2" l="1"/>
  <c r="F162" i="2" s="1"/>
  <c r="G162" i="2" s="1"/>
  <c r="C163" i="2" l="1"/>
  <c r="H162" i="2"/>
  <c r="D163" i="2" l="1"/>
  <c r="E163" i="2" l="1"/>
  <c r="F163" i="2" s="1"/>
  <c r="G163" i="2" s="1"/>
  <c r="H163" i="2" l="1"/>
  <c r="C164" i="2"/>
  <c r="D164" i="2" l="1"/>
  <c r="E164" i="2" l="1"/>
  <c r="F164" i="2" s="1"/>
  <c r="G164" i="2" s="1"/>
  <c r="C165" i="2" l="1"/>
  <c r="H164" i="2"/>
  <c r="D165" i="2" l="1"/>
  <c r="G165" i="2" s="1"/>
  <c r="E165" i="2"/>
  <c r="F165" i="2" s="1"/>
  <c r="C166" i="2" l="1"/>
  <c r="H165" i="2"/>
  <c r="D166" i="2" l="1"/>
  <c r="E166" i="2" s="1"/>
  <c r="F166" i="2" s="1"/>
  <c r="G166" i="2" s="1"/>
  <c r="C167" i="2" l="1"/>
  <c r="H166" i="2"/>
  <c r="D167" i="2" l="1"/>
  <c r="E167" i="2" l="1"/>
  <c r="F167" i="2" s="1"/>
  <c r="G167" i="2" s="1"/>
  <c r="C168" i="2" l="1"/>
  <c r="H167" i="2"/>
  <c r="D168" i="2" l="1"/>
  <c r="E168" i="2" l="1"/>
  <c r="F168" i="2" s="1"/>
  <c r="G168" i="2" s="1"/>
  <c r="H168" i="2" l="1"/>
  <c r="C169" i="2"/>
  <c r="D169" i="2" l="1"/>
  <c r="E169" i="2" l="1"/>
  <c r="F169" i="2" s="1"/>
  <c r="G169" i="2" s="1"/>
  <c r="H169" i="2" l="1"/>
  <c r="C170" i="2"/>
  <c r="D170" i="2" l="1"/>
  <c r="E170" i="2" l="1"/>
  <c r="F170" i="2" s="1"/>
  <c r="G170" i="2" s="1"/>
  <c r="C171" i="2" l="1"/>
  <c r="H170" i="2"/>
  <c r="D171" i="2" l="1"/>
  <c r="E171" i="2"/>
  <c r="F171" i="2" s="1"/>
  <c r="G171" i="2" s="1"/>
  <c r="H171" i="2" l="1"/>
  <c r="C172" i="2"/>
  <c r="D172" i="2" l="1"/>
  <c r="E172" i="2" l="1"/>
  <c r="F172" i="2" s="1"/>
  <c r="G172" i="2" s="1"/>
  <c r="C173" i="2" l="1"/>
  <c r="H172" i="2"/>
  <c r="D173" i="2" l="1"/>
  <c r="E173" i="2"/>
  <c r="F173" i="2" s="1"/>
  <c r="G173" i="2" s="1"/>
  <c r="H173" i="2" l="1"/>
  <c r="C174" i="2"/>
  <c r="D174" i="2" l="1"/>
  <c r="E174" i="2" l="1"/>
  <c r="F174" i="2" s="1"/>
  <c r="G174" i="2" s="1"/>
  <c r="C175" i="2" l="1"/>
  <c r="H174" i="2"/>
  <c r="D175" i="2" l="1"/>
  <c r="E175" i="2" l="1"/>
  <c r="F175" i="2" s="1"/>
  <c r="G175" i="2" s="1"/>
  <c r="H175" i="2" l="1"/>
  <c r="C176" i="2"/>
  <c r="D176" i="2" l="1"/>
  <c r="E176" i="2" l="1"/>
  <c r="F176" i="2" s="1"/>
  <c r="G176" i="2" s="1"/>
  <c r="C177" i="2" l="1"/>
  <c r="H176" i="2"/>
  <c r="D177" i="2" l="1"/>
  <c r="E177" i="2" l="1"/>
  <c r="F177" i="2" s="1"/>
  <c r="G177" i="2" s="1"/>
  <c r="C178" i="2" l="1"/>
  <c r="H177" i="2"/>
  <c r="D178" i="2" l="1"/>
  <c r="E178" i="2" s="1"/>
  <c r="F178" i="2" s="1"/>
  <c r="G178" i="2" l="1"/>
  <c r="H178" i="2" l="1"/>
  <c r="C179" i="2"/>
  <c r="D179" i="2" l="1"/>
  <c r="E179" i="2" s="1"/>
  <c r="F179" i="2" s="1"/>
  <c r="G179" i="2" l="1"/>
  <c r="C180" i="2" l="1"/>
  <c r="H179" i="2"/>
  <c r="D180" i="2" l="1"/>
  <c r="E180" i="2"/>
  <c r="F180" i="2" s="1"/>
  <c r="G180" i="2" s="1"/>
  <c r="C181" i="2" l="1"/>
  <c r="H180" i="2"/>
  <c r="D181" i="2" l="1"/>
  <c r="E181" i="2" l="1"/>
  <c r="F181" i="2" s="1"/>
  <c r="G181" i="2" s="1"/>
  <c r="H181" i="2" l="1"/>
  <c r="C182" i="2"/>
  <c r="D182" i="2" l="1"/>
  <c r="E182" i="2"/>
  <c r="F182" i="2" s="1"/>
  <c r="G182" i="2" s="1"/>
  <c r="C183" i="2" l="1"/>
  <c r="H182" i="2"/>
  <c r="D183" i="2" l="1"/>
  <c r="E183" i="2"/>
  <c r="F183" i="2" s="1"/>
  <c r="G183" i="2" s="1"/>
  <c r="C184" i="2" l="1"/>
  <c r="H183" i="2"/>
  <c r="D184" i="2" l="1"/>
  <c r="E184" i="2"/>
  <c r="F184" i="2" s="1"/>
  <c r="G184" i="2"/>
  <c r="C185" i="2" l="1"/>
  <c r="H184" i="2"/>
  <c r="D185" i="2" l="1"/>
  <c r="E185" i="2"/>
  <c r="F185" i="2" s="1"/>
  <c r="G185" i="2" s="1"/>
  <c r="C186" i="2" l="1"/>
  <c r="H185" i="2"/>
  <c r="D186" i="2" l="1"/>
  <c r="G186" i="2" s="1"/>
  <c r="E186" i="2"/>
  <c r="F186" i="2" s="1"/>
  <c r="C187" i="2" l="1"/>
  <c r="H186" i="2"/>
  <c r="D187" i="2" l="1"/>
  <c r="E187" i="2" s="1"/>
  <c r="F187" i="2" s="1"/>
  <c r="G187" i="2" l="1"/>
  <c r="C188" i="2" l="1"/>
  <c r="H187" i="2"/>
  <c r="D188" i="2" l="1"/>
  <c r="E188" i="2" l="1"/>
  <c r="F188" i="2" s="1"/>
  <c r="G188" i="2" s="1"/>
  <c r="C189" i="2" l="1"/>
  <c r="H188" i="2"/>
  <c r="D189" i="2" l="1"/>
  <c r="E189" i="2" l="1"/>
  <c r="F189" i="2" s="1"/>
  <c r="G189" i="2" s="1"/>
  <c r="C190" i="2" l="1"/>
  <c r="H189" i="2"/>
  <c r="D190" i="2" l="1"/>
  <c r="E190" i="2" s="1"/>
  <c r="F190" i="2" s="1"/>
  <c r="G190" i="2" s="1"/>
  <c r="H190" i="2" l="1"/>
  <c r="C191" i="2"/>
  <c r="D191" i="2" l="1"/>
  <c r="E191" i="2" l="1"/>
  <c r="F191" i="2" s="1"/>
  <c r="G191" i="2" s="1"/>
  <c r="C192" i="2" l="1"/>
  <c r="H191" i="2"/>
  <c r="D192" i="2" l="1"/>
  <c r="E192" i="2" l="1"/>
  <c r="F192" i="2" s="1"/>
  <c r="G192" i="2" s="1"/>
  <c r="H192" i="2" l="1"/>
  <c r="C193" i="2"/>
  <c r="D193" i="2" l="1"/>
  <c r="E193" i="2" l="1"/>
  <c r="F193" i="2" s="1"/>
  <c r="G193" i="2" s="1"/>
  <c r="H193" i="2" l="1"/>
  <c r="C194" i="2"/>
  <c r="D194" i="2" l="1"/>
  <c r="E194" i="2" l="1"/>
  <c r="F194" i="2" s="1"/>
  <c r="G194" i="2" s="1"/>
  <c r="C195" i="2" l="1"/>
  <c r="H194" i="2"/>
  <c r="D195" i="2" l="1"/>
  <c r="E195" i="2" s="1"/>
  <c r="F195" i="2" s="1"/>
  <c r="G195" i="2" s="1"/>
  <c r="C196" i="2" l="1"/>
  <c r="H195" i="2"/>
  <c r="D196" i="2" l="1"/>
  <c r="E196" i="2"/>
  <c r="F196" i="2" s="1"/>
  <c r="G196" i="2" s="1"/>
  <c r="C197" i="2" l="1"/>
  <c r="H196" i="2"/>
  <c r="D197" i="2" l="1"/>
  <c r="E197" i="2"/>
  <c r="F197" i="2" s="1"/>
  <c r="G197" i="2" s="1"/>
  <c r="C198" i="2" l="1"/>
  <c r="H197" i="2"/>
  <c r="D198" i="2" l="1"/>
  <c r="E198" i="2" l="1"/>
  <c r="F198" i="2" s="1"/>
  <c r="G198" i="2" s="1"/>
  <c r="H198" i="2" l="1"/>
  <c r="C199" i="2"/>
  <c r="D199" i="2" l="1"/>
  <c r="E199" i="2" l="1"/>
  <c r="F199" i="2" s="1"/>
  <c r="G199" i="2" s="1"/>
  <c r="H199" i="2" l="1"/>
  <c r="C200" i="2"/>
  <c r="D200" i="2" l="1"/>
  <c r="E200" i="2" l="1"/>
  <c r="F200" i="2" s="1"/>
  <c r="G200" i="2" s="1"/>
  <c r="C201" i="2" l="1"/>
  <c r="H200" i="2"/>
  <c r="D201" i="2" l="1"/>
  <c r="E201" i="2" l="1"/>
  <c r="F201" i="2" s="1"/>
  <c r="G201" i="2" s="1"/>
  <c r="C202" i="2" l="1"/>
  <c r="H201" i="2"/>
  <c r="D202" i="2" l="1"/>
  <c r="E202" i="2" s="1"/>
  <c r="F202" i="2" s="1"/>
  <c r="G202" i="2" s="1"/>
  <c r="C203" i="2" l="1"/>
  <c r="H202" i="2"/>
  <c r="D203" i="2" l="1"/>
  <c r="E203" i="2" l="1"/>
  <c r="F203" i="2" s="1"/>
  <c r="G203" i="2" s="1"/>
  <c r="C204" i="2" l="1"/>
  <c r="H203" i="2"/>
  <c r="D204" i="2" l="1"/>
  <c r="E204" i="2" s="1"/>
  <c r="F204" i="2" s="1"/>
  <c r="G204" i="2" s="1"/>
  <c r="C205" i="2" l="1"/>
  <c r="H204" i="2"/>
  <c r="D205" i="2" l="1"/>
  <c r="G205" i="2" s="1"/>
  <c r="E205" i="2"/>
  <c r="F205" i="2" s="1"/>
  <c r="H205" i="2" l="1"/>
  <c r="C206" i="2"/>
  <c r="D206" i="2" l="1"/>
  <c r="G206" i="2" s="1"/>
  <c r="E206" i="2"/>
  <c r="F206" i="2" s="1"/>
  <c r="C207" i="2" l="1"/>
  <c r="H206" i="2"/>
  <c r="D207" i="2" l="1"/>
  <c r="E207" i="2" s="1"/>
  <c r="F207" i="2" s="1"/>
  <c r="G207" i="2" s="1"/>
  <c r="C208" i="2" l="1"/>
  <c r="H207" i="2"/>
  <c r="D208" i="2" l="1"/>
  <c r="E208" i="2" l="1"/>
  <c r="F208" i="2" s="1"/>
  <c r="G208" i="2" s="1"/>
  <c r="C209" i="2" l="1"/>
  <c r="H208" i="2"/>
  <c r="D209" i="2" l="1"/>
  <c r="E209" i="2"/>
  <c r="F209" i="2" s="1"/>
  <c r="G209" i="2" s="1"/>
  <c r="C210" i="2" l="1"/>
  <c r="H209" i="2"/>
  <c r="D210" i="2" l="1"/>
  <c r="G210" i="2" s="1"/>
  <c r="E210" i="2"/>
  <c r="F210" i="2" s="1"/>
  <c r="H210" i="2" l="1"/>
  <c r="C211" i="2"/>
  <c r="D211" i="2" l="1"/>
  <c r="E211" i="2" s="1"/>
  <c r="F211" i="2" s="1"/>
  <c r="G211" i="2" s="1"/>
  <c r="C212" i="2" l="1"/>
  <c r="H211" i="2"/>
  <c r="D212" i="2" l="1"/>
  <c r="E212" i="2" l="1"/>
  <c r="F212" i="2" s="1"/>
  <c r="G212" i="2" s="1"/>
  <c r="C213" i="2" l="1"/>
  <c r="H212" i="2"/>
  <c r="D213" i="2" l="1"/>
  <c r="E213" i="2" s="1"/>
  <c r="F213" i="2" s="1"/>
  <c r="G213" i="2" s="1"/>
  <c r="C214" i="2" l="1"/>
  <c r="H213" i="2"/>
  <c r="D214" i="2" l="1"/>
  <c r="E214" i="2" s="1"/>
  <c r="F214" i="2" s="1"/>
  <c r="G214" i="2" l="1"/>
  <c r="C215" i="2" l="1"/>
  <c r="H214" i="2"/>
  <c r="D215" i="2" l="1"/>
  <c r="G215" i="2" s="1"/>
  <c r="E215" i="2"/>
  <c r="F215" i="2" s="1"/>
  <c r="C216" i="2" l="1"/>
  <c r="H215" i="2"/>
  <c r="D216" i="2" l="1"/>
  <c r="E216" i="2" s="1"/>
  <c r="F216" i="2" s="1"/>
  <c r="G216" i="2" s="1"/>
  <c r="C217" i="2" l="1"/>
  <c r="H216" i="2"/>
  <c r="D217" i="2" l="1"/>
  <c r="E217" i="2" l="1"/>
  <c r="F217" i="2" s="1"/>
  <c r="G217" i="2" s="1"/>
  <c r="H217" i="2" l="1"/>
  <c r="C218" i="2"/>
  <c r="D218" i="2" l="1"/>
  <c r="E218" i="2" s="1"/>
  <c r="F218" i="2" s="1"/>
  <c r="G218" i="2" s="1"/>
  <c r="C219" i="2" l="1"/>
  <c r="H218" i="2"/>
  <c r="D219" i="2" l="1"/>
  <c r="E219" i="2" s="1"/>
  <c r="F219" i="2" s="1"/>
  <c r="G219" i="2" s="1"/>
  <c r="H219" i="2" l="1"/>
  <c r="C220" i="2"/>
  <c r="D220" i="2" l="1"/>
  <c r="E220" i="2" l="1"/>
  <c r="F220" i="2" s="1"/>
  <c r="G220" i="2" s="1"/>
  <c r="C221" i="2" l="1"/>
  <c r="H220" i="2"/>
  <c r="D221" i="2" l="1"/>
  <c r="E221" i="2"/>
  <c r="F221" i="2" s="1"/>
  <c r="G221" i="2" s="1"/>
  <c r="C222" i="2" l="1"/>
  <c r="H221" i="2"/>
  <c r="D222" i="2" l="1"/>
  <c r="E222" i="2" l="1"/>
  <c r="F222" i="2" s="1"/>
  <c r="G222" i="2" s="1"/>
  <c r="H222" i="2" l="1"/>
  <c r="C223" i="2"/>
  <c r="D223" i="2" l="1"/>
  <c r="E223" i="2" s="1"/>
  <c r="F223" i="2" s="1"/>
  <c r="G223" i="2" s="1"/>
  <c r="C224" i="2" l="1"/>
  <c r="H223" i="2"/>
  <c r="D224" i="2" l="1"/>
  <c r="E224" i="2" l="1"/>
  <c r="F224" i="2" s="1"/>
  <c r="G224" i="2" s="1"/>
  <c r="C225" i="2" l="1"/>
  <c r="H224" i="2"/>
  <c r="D225" i="2" l="1"/>
  <c r="E225" i="2" l="1"/>
  <c r="F225" i="2" s="1"/>
  <c r="G225" i="2" s="1"/>
  <c r="C226" i="2" l="1"/>
  <c r="H225" i="2"/>
  <c r="D226" i="2" l="1"/>
  <c r="E226" i="2" s="1"/>
  <c r="F226" i="2" s="1"/>
  <c r="G226" i="2" s="1"/>
  <c r="H226" i="2" l="1"/>
  <c r="C227" i="2"/>
  <c r="D227" i="2" l="1"/>
  <c r="E227" i="2" s="1"/>
  <c r="F227" i="2" s="1"/>
  <c r="G227" i="2" s="1"/>
  <c r="C228" i="2" l="1"/>
  <c r="H227" i="2"/>
  <c r="D228" i="2" l="1"/>
  <c r="G228" i="2" s="1"/>
  <c r="E228" i="2"/>
  <c r="F228" i="2" s="1"/>
  <c r="C229" i="2" l="1"/>
  <c r="H228" i="2"/>
  <c r="D229" i="2" l="1"/>
  <c r="E229" i="2" l="1"/>
  <c r="F229" i="2" s="1"/>
  <c r="G229" i="2" s="1"/>
  <c r="H229" i="2" l="1"/>
  <c r="C230" i="2"/>
  <c r="D230" i="2" l="1"/>
  <c r="E230" i="2" l="1"/>
  <c r="F230" i="2" s="1"/>
  <c r="G230" i="2" s="1"/>
  <c r="C231" i="2" l="1"/>
  <c r="H230" i="2"/>
  <c r="D231" i="2" l="1"/>
  <c r="E231" i="2" s="1"/>
  <c r="F231" i="2" s="1"/>
  <c r="G231" i="2" l="1"/>
  <c r="C232" i="2" l="1"/>
  <c r="H231" i="2"/>
  <c r="D232" i="2" l="1"/>
  <c r="E232" i="2" l="1"/>
  <c r="F232" i="2" s="1"/>
  <c r="G232" i="2" s="1"/>
  <c r="C233" i="2" l="1"/>
  <c r="H232" i="2"/>
  <c r="D233" i="2" l="1"/>
  <c r="E233" i="2"/>
  <c r="F233" i="2" s="1"/>
  <c r="G233" i="2" s="1"/>
  <c r="H233" i="2" l="1"/>
  <c r="C234" i="2"/>
  <c r="D234" i="2" l="1"/>
  <c r="E234" i="2" l="1"/>
  <c r="F234" i="2" s="1"/>
  <c r="G234" i="2" s="1"/>
  <c r="H234" i="2" l="1"/>
  <c r="C235" i="2"/>
  <c r="D235" i="2" l="1"/>
  <c r="E235" i="2" l="1"/>
  <c r="F235" i="2" s="1"/>
  <c r="G235" i="2" s="1"/>
  <c r="C236" i="2" l="1"/>
  <c r="H235" i="2"/>
  <c r="D236" i="2" l="1"/>
  <c r="E236" i="2" l="1"/>
  <c r="F236" i="2" s="1"/>
  <c r="G236" i="2" s="1"/>
  <c r="C237" i="2" l="1"/>
  <c r="H236" i="2"/>
  <c r="D237" i="2" l="1"/>
  <c r="E237" i="2" l="1"/>
  <c r="F237" i="2" s="1"/>
  <c r="G237" i="2" s="1"/>
  <c r="C238" i="2" l="1"/>
  <c r="H237" i="2"/>
  <c r="D238" i="2" l="1"/>
  <c r="E238" i="2" s="1"/>
  <c r="F238" i="2" s="1"/>
  <c r="G238" i="2" s="1"/>
  <c r="H238" i="2" l="1"/>
  <c r="C239" i="2"/>
  <c r="D239" i="2" l="1"/>
  <c r="E239" i="2" l="1"/>
  <c r="F239" i="2" s="1"/>
  <c r="G239" i="2" s="1"/>
  <c r="C240" i="2" l="1"/>
  <c r="H239" i="2"/>
  <c r="D240" i="2" l="1"/>
  <c r="E240" i="2" s="1"/>
  <c r="F240" i="2" s="1"/>
  <c r="G240" i="2" s="1"/>
  <c r="C241" i="2" l="1"/>
  <c r="H240" i="2"/>
  <c r="D241" i="2" l="1"/>
  <c r="G241" i="2" s="1"/>
  <c r="E241" i="2"/>
  <c r="F241" i="2" s="1"/>
  <c r="H241" i="2" l="1"/>
  <c r="C242" i="2"/>
  <c r="D242" i="2" l="1"/>
  <c r="E242" i="2" l="1"/>
  <c r="F242" i="2" s="1"/>
  <c r="G242" i="2" s="1"/>
  <c r="C243" i="2" l="1"/>
  <c r="H242" i="2"/>
  <c r="D243" i="2" l="1"/>
  <c r="E243" i="2" s="1"/>
  <c r="F243" i="2" s="1"/>
  <c r="G243" i="2" l="1"/>
  <c r="C244" i="2" l="1"/>
  <c r="H243" i="2"/>
  <c r="D244" i="2" l="1"/>
  <c r="G244" i="2" s="1"/>
  <c r="E244" i="2"/>
  <c r="F244" i="2" s="1"/>
  <c r="C245" i="2" l="1"/>
  <c r="H244" i="2"/>
  <c r="D245" i="2" l="1"/>
  <c r="E245" i="2"/>
  <c r="F245" i="2" s="1"/>
  <c r="G245" i="2" s="1"/>
  <c r="C246" i="2" l="1"/>
  <c r="H245" i="2"/>
  <c r="D246" i="2" l="1"/>
  <c r="E246" i="2" l="1"/>
  <c r="F246" i="2" s="1"/>
  <c r="G246" i="2" s="1"/>
  <c r="H246" i="2" l="1"/>
  <c r="C247" i="2"/>
  <c r="D247" i="2" l="1"/>
  <c r="E247" i="2" s="1"/>
  <c r="F247" i="2" s="1"/>
  <c r="G247" i="2" s="1"/>
  <c r="C248" i="2" l="1"/>
  <c r="H247" i="2"/>
  <c r="D248" i="2" l="1"/>
  <c r="E248" i="2" l="1"/>
  <c r="F248" i="2" s="1"/>
  <c r="G248" i="2" s="1"/>
  <c r="C249" i="2" l="1"/>
  <c r="H248" i="2"/>
  <c r="D249" i="2" l="1"/>
  <c r="E249" i="2"/>
  <c r="F249" i="2" s="1"/>
  <c r="G249" i="2" s="1"/>
  <c r="C250" i="2" l="1"/>
  <c r="H249" i="2"/>
  <c r="D250" i="2" l="1"/>
  <c r="E250" i="2" s="1"/>
  <c r="F250" i="2" s="1"/>
  <c r="G250" i="2" s="1"/>
  <c r="C251" i="2" l="1"/>
  <c r="H250" i="2"/>
  <c r="D251" i="2" l="1"/>
  <c r="E251" i="2" l="1"/>
  <c r="F251" i="2" s="1"/>
  <c r="G251" i="2" s="1"/>
  <c r="C252" i="2" l="1"/>
  <c r="H251" i="2"/>
  <c r="D252" i="2" l="1"/>
  <c r="E252" i="2" l="1"/>
  <c r="F252" i="2" s="1"/>
  <c r="G252" i="2" s="1"/>
  <c r="C253" i="2" l="1"/>
  <c r="H252" i="2"/>
  <c r="D253" i="2" l="1"/>
  <c r="G253" i="2" s="1"/>
  <c r="E253" i="2"/>
  <c r="F253" i="2" s="1"/>
  <c r="H253" i="2" l="1"/>
  <c r="C254" i="2"/>
  <c r="D254" i="2" l="1"/>
  <c r="E254" i="2" s="1"/>
  <c r="F254" i="2" s="1"/>
  <c r="G254" i="2" s="1"/>
  <c r="C255" i="2" l="1"/>
  <c r="H254" i="2"/>
  <c r="D255" i="2" l="1"/>
  <c r="E255" i="2" s="1"/>
  <c r="F255" i="2" s="1"/>
  <c r="G255" i="2" s="1"/>
  <c r="H255" i="2" l="1"/>
  <c r="C256" i="2"/>
  <c r="D256" i="2" l="1"/>
  <c r="G256" i="2" s="1"/>
  <c r="E256" i="2"/>
  <c r="F256" i="2" s="1"/>
  <c r="C257" i="2" l="1"/>
  <c r="H256" i="2"/>
  <c r="D257" i="2" l="1"/>
  <c r="E257" i="2"/>
  <c r="F257" i="2" s="1"/>
  <c r="G257" i="2" s="1"/>
  <c r="C258" i="2" l="1"/>
  <c r="H257" i="2"/>
  <c r="D258" i="2" l="1"/>
  <c r="E258" i="2" l="1"/>
  <c r="F258" i="2" s="1"/>
  <c r="G258" i="2" s="1"/>
  <c r="H258" i="2" l="1"/>
  <c r="C259" i="2"/>
  <c r="D259" i="2" l="1"/>
  <c r="E259" i="2" s="1"/>
  <c r="F259" i="2" s="1"/>
  <c r="G259" i="2" l="1"/>
  <c r="C260" i="2" l="1"/>
  <c r="H259" i="2"/>
  <c r="D260" i="2" l="1"/>
  <c r="E260" i="2" l="1"/>
  <c r="F260" i="2" s="1"/>
  <c r="G260" i="2" s="1"/>
  <c r="H260" i="2" l="1"/>
  <c r="C261" i="2"/>
  <c r="D261" i="2" l="1"/>
  <c r="E261" i="2" l="1"/>
  <c r="F261" i="2" s="1"/>
  <c r="G261" i="2" s="1"/>
  <c r="C262" i="2" l="1"/>
  <c r="H261" i="2"/>
  <c r="D262" i="2" l="1"/>
  <c r="E262" i="2" s="1"/>
  <c r="F262" i="2" s="1"/>
  <c r="G262" i="2" s="1"/>
  <c r="C263" i="2" l="1"/>
  <c r="H262" i="2"/>
  <c r="D263" i="2" l="1"/>
  <c r="E263" i="2" l="1"/>
  <c r="F263" i="2" s="1"/>
  <c r="G263" i="2" s="1"/>
  <c r="C264" i="2" l="1"/>
  <c r="H263" i="2"/>
  <c r="D264" i="2" l="1"/>
  <c r="G264" i="2" s="1"/>
  <c r="E264" i="2"/>
  <c r="F264" i="2" s="1"/>
  <c r="H264" i="2" l="1"/>
  <c r="C265" i="2"/>
  <c r="D265" i="2" l="1"/>
  <c r="G265" i="2" s="1"/>
  <c r="E265" i="2"/>
  <c r="F265" i="2" s="1"/>
  <c r="H265" i="2" l="1"/>
  <c r="C266" i="2"/>
  <c r="D266" i="2" l="1"/>
  <c r="G266" i="2" s="1"/>
  <c r="E266" i="2"/>
  <c r="F266" i="2" s="1"/>
  <c r="C267" i="2" l="1"/>
  <c r="H266" i="2"/>
  <c r="D267" i="2" l="1"/>
  <c r="E267" i="2" l="1"/>
  <c r="F267" i="2" s="1"/>
  <c r="G267" i="2" s="1"/>
  <c r="H267" i="2" l="1"/>
  <c r="C268" i="2"/>
  <c r="D268" i="2" l="1"/>
  <c r="E268" i="2"/>
  <c r="F268" i="2" s="1"/>
  <c r="G268" i="2" s="1"/>
  <c r="H268" i="2" l="1"/>
  <c r="C269" i="2"/>
  <c r="D269" i="2" l="1"/>
  <c r="G269" i="2" s="1"/>
  <c r="E269" i="2"/>
  <c r="F269" i="2" s="1"/>
  <c r="H269" i="2" l="1"/>
  <c r="C270" i="2"/>
  <c r="D270" i="2" l="1"/>
  <c r="E270" i="2"/>
  <c r="F270" i="2" s="1"/>
  <c r="G270" i="2" s="1"/>
  <c r="C271" i="2" l="1"/>
  <c r="H270" i="2"/>
  <c r="D271" i="2" l="1"/>
  <c r="G271" i="2" s="1"/>
  <c r="E271" i="2"/>
  <c r="F271" i="2" s="1"/>
  <c r="H271" i="2" l="1"/>
  <c r="C272" i="2"/>
  <c r="D272" i="2" l="1"/>
  <c r="E272" i="2"/>
  <c r="F272" i="2" s="1"/>
  <c r="G272" i="2"/>
  <c r="C273" i="2" l="1"/>
  <c r="H272" i="2"/>
  <c r="D273" i="2" l="1"/>
  <c r="G273" i="2" s="1"/>
  <c r="E273" i="2"/>
  <c r="F273" i="2" s="1"/>
  <c r="C274" i="2" l="1"/>
  <c r="H273" i="2"/>
  <c r="D274" i="2" l="1"/>
  <c r="E274" i="2" l="1"/>
  <c r="F274" i="2" s="1"/>
  <c r="G274" i="2" s="1"/>
  <c r="C275" i="2" l="1"/>
  <c r="H274" i="2"/>
  <c r="D275" i="2" l="1"/>
  <c r="E275" i="2" l="1"/>
  <c r="F275" i="2" s="1"/>
  <c r="G275" i="2" s="1"/>
  <c r="C276" i="2" l="1"/>
  <c r="H275" i="2"/>
  <c r="D276" i="2" l="1"/>
  <c r="G276" i="2" s="1"/>
  <c r="E276" i="2"/>
  <c r="F276" i="2" s="1"/>
  <c r="C277" i="2" l="1"/>
  <c r="H276" i="2"/>
  <c r="D277" i="2" l="1"/>
  <c r="E277" i="2" s="1"/>
  <c r="F277" i="2" s="1"/>
  <c r="G277" i="2" l="1"/>
  <c r="C278" i="2" l="1"/>
  <c r="H277" i="2"/>
  <c r="D278" i="2" l="1"/>
  <c r="E278" i="2" l="1"/>
  <c r="F278" i="2" s="1"/>
  <c r="G278" i="2" s="1"/>
  <c r="C279" i="2" l="1"/>
  <c r="H278" i="2"/>
  <c r="D279" i="2" l="1"/>
  <c r="E279" i="2" l="1"/>
  <c r="F279" i="2" s="1"/>
  <c r="G279" i="2" s="1"/>
  <c r="C280" i="2" l="1"/>
  <c r="H279" i="2"/>
  <c r="D280" i="2" l="1"/>
  <c r="E280" i="2" l="1"/>
  <c r="F280" i="2" s="1"/>
  <c r="G280" i="2" s="1"/>
  <c r="H280" i="2" l="1"/>
  <c r="C281" i="2"/>
  <c r="D281" i="2" l="1"/>
  <c r="E281" i="2" s="1"/>
  <c r="F281" i="2" s="1"/>
  <c r="G281" i="2" s="1"/>
  <c r="C282" i="2" l="1"/>
  <c r="H281" i="2"/>
  <c r="D282" i="2" l="1"/>
  <c r="E282" i="2" s="1"/>
  <c r="F282" i="2" s="1"/>
  <c r="G282" i="2" l="1"/>
  <c r="H282" i="2" l="1"/>
  <c r="C283" i="2"/>
  <c r="D283" i="2" l="1"/>
  <c r="E283" i="2" l="1"/>
  <c r="F283" i="2" s="1"/>
  <c r="G283" i="2" s="1"/>
  <c r="C284" i="2" l="1"/>
  <c r="H283" i="2"/>
  <c r="D284" i="2" l="1"/>
  <c r="E284" i="2"/>
  <c r="F284" i="2" s="1"/>
  <c r="G284" i="2"/>
  <c r="C285" i="2" l="1"/>
  <c r="H284" i="2"/>
  <c r="D285" i="2" l="1"/>
  <c r="E285" i="2" l="1"/>
  <c r="F285" i="2" s="1"/>
  <c r="G285" i="2" s="1"/>
  <c r="C286" i="2" l="1"/>
  <c r="H285" i="2"/>
  <c r="D286" i="2" l="1"/>
  <c r="E286" i="2" s="1"/>
  <c r="F286" i="2" s="1"/>
  <c r="G286" i="2" s="1"/>
  <c r="C287" i="2" l="1"/>
  <c r="H286" i="2"/>
  <c r="D287" i="2" l="1"/>
  <c r="E287" i="2" l="1"/>
  <c r="F287" i="2" s="1"/>
  <c r="G287" i="2" s="1"/>
  <c r="C288" i="2" l="1"/>
  <c r="H287" i="2"/>
  <c r="D288" i="2" l="1"/>
  <c r="E288" i="2" s="1"/>
  <c r="F288" i="2" s="1"/>
  <c r="G288" i="2" s="1"/>
  <c r="C289" i="2" l="1"/>
  <c r="H288" i="2"/>
  <c r="D289" i="2" l="1"/>
  <c r="E289" i="2" s="1"/>
  <c r="F289" i="2" s="1"/>
  <c r="G289" i="2" l="1"/>
  <c r="C290" i="2" l="1"/>
  <c r="H289" i="2"/>
  <c r="D290" i="2" l="1"/>
  <c r="E290" i="2" s="1"/>
  <c r="F290" i="2" s="1"/>
  <c r="G290" i="2" s="1"/>
  <c r="C291" i="2" l="1"/>
  <c r="H290" i="2"/>
  <c r="D291" i="2" l="1"/>
  <c r="E291" i="2" l="1"/>
  <c r="F291" i="2" s="1"/>
  <c r="G291" i="2" s="1"/>
  <c r="C292" i="2" l="1"/>
  <c r="H291" i="2"/>
  <c r="D292" i="2" l="1"/>
  <c r="E292" i="2" s="1"/>
  <c r="F292" i="2" s="1"/>
  <c r="G292" i="2" s="1"/>
  <c r="H292" i="2" l="1"/>
  <c r="C293" i="2"/>
  <c r="D293" i="2" l="1"/>
  <c r="E293" i="2"/>
  <c r="F293" i="2" s="1"/>
  <c r="G293" i="2" s="1"/>
  <c r="C294" i="2" l="1"/>
  <c r="H293" i="2"/>
  <c r="D294" i="2" l="1"/>
  <c r="E294" i="2"/>
  <c r="F294" i="2" s="1"/>
  <c r="G294" i="2" s="1"/>
  <c r="C295" i="2" l="1"/>
  <c r="H294" i="2"/>
  <c r="D295" i="2" l="1"/>
  <c r="E295" i="2"/>
  <c r="F295" i="2" s="1"/>
  <c r="G295" i="2" s="1"/>
  <c r="H295" i="2" l="1"/>
  <c r="C296" i="2"/>
  <c r="D296" i="2" l="1"/>
  <c r="E296" i="2"/>
  <c r="F296" i="2" s="1"/>
  <c r="G296" i="2" s="1"/>
  <c r="C297" i="2" l="1"/>
  <c r="H296" i="2"/>
  <c r="D297" i="2" l="1"/>
  <c r="E297" i="2" l="1"/>
  <c r="F297" i="2" s="1"/>
  <c r="G297" i="2" s="1"/>
  <c r="C298" i="2" l="1"/>
  <c r="H297" i="2"/>
  <c r="D298" i="2" l="1"/>
  <c r="E298" i="2" l="1"/>
  <c r="F298" i="2" s="1"/>
  <c r="G298" i="2" s="1"/>
  <c r="C299" i="2" l="1"/>
  <c r="H298" i="2"/>
  <c r="D299" i="2" l="1"/>
  <c r="E299" i="2" l="1"/>
  <c r="F299" i="2" s="1"/>
  <c r="G299" i="2" s="1"/>
  <c r="C300" i="2" l="1"/>
  <c r="H299" i="2"/>
  <c r="D300" i="2" l="1"/>
  <c r="E300" i="2" l="1"/>
  <c r="F300" i="2" s="1"/>
  <c r="G300" i="2" s="1"/>
  <c r="C301" i="2" l="1"/>
  <c r="H300" i="2"/>
  <c r="D301" i="2" l="1"/>
  <c r="E301" i="2" s="1"/>
  <c r="F301" i="2" s="1"/>
  <c r="G301" i="2" s="1"/>
  <c r="C302" i="2" l="1"/>
  <c r="H301" i="2"/>
  <c r="D302" i="2" l="1"/>
  <c r="E302" i="2" l="1"/>
  <c r="F302" i="2" s="1"/>
  <c r="G302" i="2" s="1"/>
  <c r="C303" i="2" l="1"/>
  <c r="H302" i="2"/>
  <c r="D303" i="2" l="1"/>
  <c r="E303" i="2" l="1"/>
  <c r="F303" i="2" s="1"/>
  <c r="G303" i="2" s="1"/>
  <c r="C304" i="2" l="1"/>
  <c r="H303" i="2"/>
  <c r="D304" i="2" l="1"/>
  <c r="E304" i="2" l="1"/>
  <c r="F304" i="2" s="1"/>
  <c r="G304" i="2" s="1"/>
  <c r="H304" i="2" l="1"/>
  <c r="C305" i="2"/>
  <c r="D305" i="2" l="1"/>
  <c r="E305" i="2" l="1"/>
  <c r="F305" i="2" s="1"/>
  <c r="G305" i="2" s="1"/>
  <c r="C306" i="2" l="1"/>
  <c r="H305" i="2"/>
  <c r="D306" i="2" l="1"/>
  <c r="E306" i="2"/>
  <c r="F306" i="2" s="1"/>
  <c r="G306" i="2" s="1"/>
  <c r="H306" i="2" l="1"/>
  <c r="C307" i="2"/>
  <c r="D307" i="2" l="1"/>
  <c r="E307" i="2" s="1"/>
  <c r="F307" i="2" s="1"/>
  <c r="G307" i="2" s="1"/>
  <c r="C308" i="2" l="1"/>
  <c r="H307" i="2"/>
  <c r="D308" i="2" l="1"/>
  <c r="E308" i="2"/>
  <c r="F308" i="2" s="1"/>
  <c r="G308" i="2" s="1"/>
  <c r="H308" i="2" l="1"/>
  <c r="C309" i="2"/>
  <c r="D309" i="2" l="1"/>
  <c r="E309" i="2" l="1"/>
  <c r="F309" i="2" s="1"/>
  <c r="G309" i="2" s="1"/>
  <c r="C310" i="2" l="1"/>
  <c r="H309" i="2"/>
  <c r="D310" i="2" l="1"/>
  <c r="E310" i="2" l="1"/>
  <c r="F310" i="2" s="1"/>
  <c r="G310" i="2" s="1"/>
  <c r="H310" i="2" l="1"/>
  <c r="C311" i="2"/>
  <c r="D311" i="2" l="1"/>
  <c r="E311" i="2" l="1"/>
  <c r="F311" i="2" s="1"/>
  <c r="G311" i="2" s="1"/>
  <c r="H311" i="2" l="1"/>
  <c r="C312" i="2"/>
  <c r="D312" i="2" l="1"/>
  <c r="E312" i="2" l="1"/>
  <c r="F312" i="2" s="1"/>
  <c r="G312" i="2" s="1"/>
  <c r="C313" i="2" l="1"/>
  <c r="H312" i="2"/>
  <c r="D313" i="2" l="1"/>
  <c r="E313" i="2" s="1"/>
  <c r="F313" i="2" s="1"/>
  <c r="G313" i="2" l="1"/>
  <c r="H313" i="2" l="1"/>
  <c r="C314" i="2"/>
  <c r="D314" i="2" l="1"/>
  <c r="E314" i="2" l="1"/>
  <c r="F314" i="2" s="1"/>
  <c r="G314" i="2" s="1"/>
  <c r="C315" i="2" l="1"/>
  <c r="H314" i="2"/>
  <c r="D315" i="2" l="1"/>
  <c r="E315" i="2"/>
  <c r="F315" i="2" s="1"/>
  <c r="G315" i="2" s="1"/>
  <c r="C316" i="2" l="1"/>
  <c r="H315" i="2"/>
  <c r="D316" i="2" l="1"/>
  <c r="E316" i="2" s="1"/>
  <c r="F316" i="2" s="1"/>
  <c r="G316" i="2" l="1"/>
  <c r="H316" i="2" l="1"/>
  <c r="C317" i="2"/>
  <c r="D317" i="2" l="1"/>
  <c r="E317" i="2"/>
  <c r="F317" i="2" s="1"/>
  <c r="G317" i="2" s="1"/>
  <c r="C318" i="2" l="1"/>
  <c r="H317" i="2"/>
  <c r="D318" i="2" l="1"/>
  <c r="E318" i="2"/>
  <c r="F318" i="2" s="1"/>
  <c r="G318" i="2" s="1"/>
  <c r="C319" i="2" l="1"/>
  <c r="H318" i="2"/>
  <c r="D319" i="2" l="1"/>
  <c r="E319" i="2"/>
  <c r="F319" i="2" s="1"/>
  <c r="G319" i="2" s="1"/>
  <c r="H319" i="2" l="1"/>
  <c r="C320" i="2"/>
  <c r="D320" i="2" l="1"/>
  <c r="E320" i="2"/>
  <c r="F320" i="2" s="1"/>
  <c r="G320" i="2" s="1"/>
  <c r="C321" i="2" l="1"/>
  <c r="H320" i="2"/>
  <c r="D321" i="2" l="1"/>
  <c r="E321" i="2"/>
  <c r="F321" i="2" s="1"/>
  <c r="G321" i="2" s="1"/>
  <c r="C322" i="2" l="1"/>
  <c r="H321" i="2"/>
  <c r="D322" i="2" l="1"/>
  <c r="E322" i="2" l="1"/>
  <c r="F322" i="2" s="1"/>
  <c r="G322" i="2" s="1"/>
  <c r="C323" i="2" l="1"/>
  <c r="H322" i="2"/>
  <c r="D323" i="2" l="1"/>
  <c r="E323" i="2" l="1"/>
  <c r="F323" i="2" s="1"/>
  <c r="G323" i="2" s="1"/>
  <c r="C324" i="2" l="1"/>
  <c r="H323" i="2"/>
  <c r="D324" i="2" l="1"/>
  <c r="E324" i="2" l="1"/>
  <c r="F324" i="2" s="1"/>
  <c r="G324" i="2" s="1"/>
  <c r="C325" i="2" l="1"/>
  <c r="H324" i="2"/>
  <c r="D325" i="2" l="1"/>
  <c r="E325" i="2" s="1"/>
  <c r="F325" i="2" s="1"/>
  <c r="G325" i="2" l="1"/>
  <c r="C326" i="2" l="1"/>
  <c r="H325" i="2"/>
  <c r="D326" i="2" l="1"/>
  <c r="G326" i="2" s="1"/>
  <c r="E326" i="2"/>
  <c r="F326" i="2" s="1"/>
  <c r="C327" i="2" l="1"/>
  <c r="H326" i="2"/>
  <c r="D327" i="2" l="1"/>
  <c r="E327" i="2" s="1"/>
  <c r="F327" i="2" s="1"/>
  <c r="G327" i="2" s="1"/>
  <c r="C328" i="2" l="1"/>
  <c r="H327" i="2"/>
  <c r="D328" i="2" l="1"/>
  <c r="E328" i="2" l="1"/>
  <c r="F328" i="2" s="1"/>
  <c r="G328" i="2" s="1"/>
  <c r="H328" i="2" l="1"/>
  <c r="C329" i="2"/>
  <c r="D329" i="2" l="1"/>
  <c r="E329" i="2" s="1"/>
  <c r="F329" i="2" s="1"/>
  <c r="G329" i="2" s="1"/>
  <c r="C330" i="2" l="1"/>
  <c r="H329" i="2"/>
  <c r="D330" i="2" l="1"/>
  <c r="E330" i="2"/>
  <c r="F330" i="2" s="1"/>
  <c r="G330" i="2" s="1"/>
  <c r="C331" i="2" l="1"/>
  <c r="H330" i="2"/>
  <c r="D331" i="2" l="1"/>
  <c r="E331" i="2" l="1"/>
  <c r="F331" i="2" s="1"/>
  <c r="G331" i="2" s="1"/>
  <c r="C332" i="2" l="1"/>
  <c r="H331" i="2"/>
  <c r="D332" i="2" l="1"/>
  <c r="E332" i="2" l="1"/>
  <c r="F332" i="2" s="1"/>
  <c r="G332" i="2" s="1"/>
  <c r="C333" i="2" l="1"/>
  <c r="H332" i="2"/>
  <c r="D333" i="2" l="1"/>
  <c r="E333" i="2" l="1"/>
  <c r="F333" i="2" s="1"/>
  <c r="G333" i="2" s="1"/>
  <c r="C334" i="2" l="1"/>
  <c r="H333" i="2"/>
  <c r="D334" i="2" l="1"/>
  <c r="E334" i="2" l="1"/>
  <c r="F334" i="2" s="1"/>
  <c r="G334" i="2" s="1"/>
  <c r="C335" i="2" l="1"/>
  <c r="H334" i="2"/>
  <c r="D335" i="2" l="1"/>
  <c r="E335" i="2" l="1"/>
  <c r="F335" i="2" s="1"/>
  <c r="G335" i="2" s="1"/>
  <c r="C336" i="2" l="1"/>
  <c r="H335" i="2"/>
  <c r="D336" i="2" l="1"/>
  <c r="E336" i="2"/>
  <c r="F336" i="2" s="1"/>
  <c r="G336" i="2" s="1"/>
  <c r="C337" i="2" l="1"/>
  <c r="H336" i="2"/>
  <c r="D337" i="2" l="1"/>
  <c r="E337" i="2" s="1"/>
  <c r="F337" i="2" s="1"/>
  <c r="G337" i="2" l="1"/>
  <c r="C338" i="2" l="1"/>
  <c r="H337" i="2"/>
  <c r="D338" i="2" l="1"/>
  <c r="E338" i="2" s="1"/>
  <c r="F338" i="2" s="1"/>
  <c r="G338" i="2" s="1"/>
  <c r="C339" i="2" l="1"/>
  <c r="H338" i="2"/>
  <c r="D339" i="2" l="1"/>
  <c r="G339" i="2" s="1"/>
  <c r="E339" i="2"/>
  <c r="F339" i="2" s="1"/>
  <c r="C340" i="2" l="1"/>
  <c r="H339" i="2"/>
  <c r="D340" i="2" l="1"/>
  <c r="E340" i="2"/>
  <c r="F340" i="2" s="1"/>
  <c r="G340" i="2" s="1"/>
  <c r="H340" i="2" l="1"/>
  <c r="C341" i="2"/>
  <c r="D341" i="2" l="1"/>
  <c r="E341" i="2"/>
  <c r="F341" i="2" s="1"/>
  <c r="G341" i="2" s="1"/>
  <c r="H341" i="2" l="1"/>
  <c r="C342" i="2"/>
  <c r="D342" i="2" l="1"/>
  <c r="E342" i="2"/>
  <c r="F342" i="2" s="1"/>
  <c r="G342" i="2" s="1"/>
  <c r="C343" i="2" l="1"/>
  <c r="H342" i="2"/>
  <c r="D343" i="2" l="1"/>
  <c r="E343" i="2" l="1"/>
  <c r="F343" i="2" s="1"/>
  <c r="G343" i="2" s="1"/>
  <c r="C344" i="2" l="1"/>
  <c r="H343" i="2"/>
  <c r="D344" i="2" l="1"/>
  <c r="E344" i="2" l="1"/>
  <c r="F344" i="2" s="1"/>
  <c r="G344" i="2" s="1"/>
  <c r="C345" i="2" l="1"/>
  <c r="H344" i="2"/>
  <c r="D345" i="2" l="1"/>
  <c r="E345" i="2" l="1"/>
  <c r="F345" i="2" s="1"/>
  <c r="G345" i="2" s="1"/>
  <c r="H345" i="2" l="1"/>
  <c r="C346" i="2"/>
  <c r="D346" i="2" l="1"/>
  <c r="E346" i="2" l="1"/>
  <c r="F346" i="2" s="1"/>
  <c r="G346" i="2" s="1"/>
  <c r="C347" i="2" l="1"/>
  <c r="H346" i="2"/>
  <c r="D347" i="2" l="1"/>
  <c r="E347" i="2" l="1"/>
  <c r="F347" i="2" s="1"/>
  <c r="G347" i="2" s="1"/>
  <c r="C348" i="2" l="1"/>
  <c r="H347" i="2"/>
  <c r="D348" i="2" l="1"/>
  <c r="E348" i="2" l="1"/>
  <c r="F348" i="2" s="1"/>
  <c r="G348" i="2" s="1"/>
  <c r="C349" i="2" l="1"/>
  <c r="H348" i="2"/>
  <c r="D349" i="2" l="1"/>
  <c r="E349" i="2" s="1"/>
  <c r="F349" i="2" s="1"/>
  <c r="G349" i="2" s="1"/>
  <c r="C350" i="2" l="1"/>
  <c r="H349" i="2"/>
  <c r="D350" i="2" l="1"/>
  <c r="E350" i="2" s="1"/>
  <c r="F350" i="2" s="1"/>
  <c r="G350" i="2" s="1"/>
  <c r="C351" i="2" l="1"/>
  <c r="H350" i="2"/>
  <c r="D351" i="2" l="1"/>
  <c r="G351" i="2" s="1"/>
  <c r="E351" i="2"/>
  <c r="F351" i="2" s="1"/>
  <c r="C352" i="2" l="1"/>
  <c r="H351" i="2"/>
  <c r="D352" i="2" l="1"/>
  <c r="G352" i="2" s="1"/>
  <c r="E352" i="2"/>
  <c r="F352" i="2" s="1"/>
  <c r="H352" i="2" l="1"/>
  <c r="C353" i="2"/>
  <c r="D353" i="2" l="1"/>
  <c r="E353" i="2"/>
  <c r="F353" i="2" s="1"/>
  <c r="G353" i="2" s="1"/>
  <c r="C354" i="2" l="1"/>
  <c r="H353" i="2"/>
  <c r="D354" i="2" l="1"/>
  <c r="E354" i="2" s="1"/>
  <c r="F354" i="2" s="1"/>
  <c r="G354" i="2" s="1"/>
  <c r="C355" i="2" l="1"/>
  <c r="H354" i="2"/>
  <c r="D355" i="2" l="1"/>
  <c r="E355" i="2" l="1"/>
  <c r="F355" i="2" s="1"/>
  <c r="G355" i="2" s="1"/>
  <c r="C356" i="2" l="1"/>
  <c r="H355" i="2"/>
  <c r="D356" i="2" l="1"/>
  <c r="E356" i="2"/>
  <c r="F356" i="2" s="1"/>
  <c r="G356" i="2" s="1"/>
  <c r="C357" i="2" l="1"/>
  <c r="H356" i="2"/>
  <c r="D357" i="2" l="1"/>
  <c r="E357" i="2" l="1"/>
  <c r="F357" i="2" s="1"/>
  <c r="G357" i="2" s="1"/>
  <c r="H357" i="2" l="1"/>
  <c r="C358" i="2"/>
  <c r="D358" i="2" l="1"/>
  <c r="E358" i="2" s="1"/>
  <c r="F358" i="2" s="1"/>
  <c r="G358" i="2" s="1"/>
  <c r="C359" i="2" l="1"/>
  <c r="H358" i="2"/>
  <c r="D359" i="2" l="1"/>
  <c r="E359" i="2" l="1"/>
  <c r="F359" i="2" s="1"/>
  <c r="G359" i="2" s="1"/>
  <c r="C360" i="2" l="1"/>
  <c r="H359" i="2"/>
  <c r="D360" i="2" l="1"/>
  <c r="E360" i="2" l="1"/>
  <c r="F360" i="2" s="1"/>
  <c r="G360" i="2" s="1"/>
  <c r="C361" i="2" l="1"/>
  <c r="H360" i="2"/>
  <c r="D361" i="2" l="1"/>
  <c r="E361" i="2" s="1"/>
  <c r="F361" i="2" s="1"/>
  <c r="G361" i="2" s="1"/>
  <c r="C362" i="2" l="1"/>
  <c r="H361" i="2"/>
  <c r="D362" i="2" l="1"/>
  <c r="E362" i="2" l="1"/>
  <c r="F362" i="2" s="1"/>
  <c r="G362" i="2" s="1"/>
  <c r="C363" i="2" l="1"/>
  <c r="H362" i="2"/>
  <c r="D363" i="2" l="1"/>
  <c r="E363" i="2" s="1"/>
  <c r="F363" i="2" s="1"/>
  <c r="G363" i="2" s="1"/>
  <c r="H363" i="2" l="1"/>
  <c r="C364" i="2"/>
  <c r="D364" i="2" l="1"/>
  <c r="G364" i="2" s="1"/>
  <c r="E364" i="2"/>
  <c r="F364" i="2" s="1"/>
  <c r="H364" i="2" l="1"/>
  <c r="C365" i="2"/>
  <c r="D365" i="2" l="1"/>
  <c r="E365" i="2" l="1"/>
  <c r="F365" i="2" s="1"/>
  <c r="G365" i="2" s="1"/>
  <c r="C366" i="2" l="1"/>
  <c r="H365" i="2"/>
  <c r="D366" i="2" l="1"/>
  <c r="E366" i="2" s="1"/>
  <c r="F366" i="2" s="1"/>
  <c r="G366" i="2" l="1"/>
  <c r="H366" i="2" l="1"/>
  <c r="C367" i="2"/>
  <c r="D367" i="2" l="1"/>
  <c r="E367" i="2" s="1"/>
  <c r="F367" i="2" s="1"/>
  <c r="G367" i="2" s="1"/>
  <c r="C368" i="2" l="1"/>
  <c r="H367" i="2"/>
  <c r="D368" i="2" l="1"/>
  <c r="E368" i="2"/>
  <c r="F368" i="2" s="1"/>
  <c r="G368" i="2" s="1"/>
  <c r="H368" i="2" l="1"/>
  <c r="C369" i="2"/>
  <c r="D369" i="2" l="1"/>
  <c r="E369" i="2" s="1"/>
  <c r="F369" i="2" s="1"/>
  <c r="G369" i="2" s="1"/>
  <c r="H369" i="2" l="1"/>
  <c r="C370" i="2"/>
  <c r="D370" i="2" l="1"/>
  <c r="E370" i="2" l="1"/>
  <c r="F370" i="2" s="1"/>
  <c r="G370" i="2" s="1"/>
  <c r="H370" i="2" l="1"/>
  <c r="C371" i="2"/>
  <c r="D371" i="2" l="1"/>
  <c r="E371" i="2" l="1"/>
  <c r="F371" i="2" s="1"/>
  <c r="G371" i="2" s="1"/>
  <c r="C372" i="2" l="1"/>
  <c r="H371" i="2"/>
  <c r="D372" i="2" l="1"/>
  <c r="E372" i="2" l="1"/>
  <c r="F372" i="2" s="1"/>
  <c r="G372" i="2" s="1"/>
  <c r="H372" i="2" l="1"/>
  <c r="C373" i="2"/>
  <c r="D373" i="2" l="1"/>
  <c r="E373" i="2" s="1"/>
  <c r="F373" i="2" s="1"/>
  <c r="G373" i="2" s="1"/>
  <c r="C374" i="2" l="1"/>
  <c r="H373" i="2"/>
  <c r="D374" i="2" l="1"/>
  <c r="E374" i="2" l="1"/>
  <c r="F374" i="2" s="1"/>
  <c r="G374" i="2" s="1"/>
  <c r="C375" i="2" l="1"/>
  <c r="H374" i="2"/>
  <c r="D375" i="2" l="1"/>
  <c r="E375" i="2"/>
  <c r="F375" i="2" s="1"/>
  <c r="G375" i="2" s="1"/>
  <c r="C376" i="2" l="1"/>
  <c r="H375" i="2"/>
  <c r="D376" i="2" l="1"/>
  <c r="E376" i="2" l="1"/>
  <c r="F376" i="2" s="1"/>
  <c r="G376" i="2" s="1"/>
  <c r="H376" i="2" l="1"/>
  <c r="C377" i="2"/>
  <c r="D377" i="2" l="1"/>
  <c r="E377" i="2"/>
  <c r="F377" i="2" s="1"/>
  <c r="G377" i="2" s="1"/>
  <c r="C378" i="2" l="1"/>
  <c r="H377" i="2"/>
  <c r="D378" i="2" l="1"/>
  <c r="E378" i="2" s="1"/>
  <c r="F378" i="2" s="1"/>
  <c r="G378" i="2" l="1"/>
  <c r="C379" i="2" l="1"/>
  <c r="H378" i="2"/>
  <c r="D379" i="2" l="1"/>
  <c r="G379" i="2" s="1"/>
  <c r="E379" i="2"/>
  <c r="F379" i="2" s="1"/>
  <c r="C380" i="2" l="1"/>
  <c r="H379" i="2"/>
  <c r="D380" i="2" l="1"/>
  <c r="E380" i="2"/>
  <c r="F380" i="2" s="1"/>
  <c r="G380" i="2" s="1"/>
  <c r="C381" i="2" l="1"/>
  <c r="H380" i="2"/>
  <c r="D381" i="2" l="1"/>
  <c r="E381" i="2"/>
  <c r="F381" i="2" s="1"/>
  <c r="G381" i="2" s="1"/>
  <c r="H381" i="2" l="1"/>
  <c r="C382" i="2"/>
  <c r="D382" i="2" l="1"/>
  <c r="E382" i="2" l="1"/>
  <c r="F382" i="2" s="1"/>
  <c r="G382" i="2" s="1"/>
  <c r="C383" i="2" l="1"/>
  <c r="H382" i="2"/>
  <c r="D383" i="2" l="1"/>
  <c r="G383" i="2" s="1"/>
  <c r="E383" i="2"/>
  <c r="F383" i="2" s="1"/>
  <c r="C384" i="2" l="1"/>
  <c r="H383" i="2"/>
  <c r="D384" i="2" l="1"/>
  <c r="E384" i="2" l="1"/>
  <c r="F384" i="2" s="1"/>
  <c r="G384" i="2" s="1"/>
  <c r="C385" i="2" l="1"/>
  <c r="H384" i="2"/>
  <c r="D385" i="2" l="1"/>
  <c r="E385" i="2" s="1"/>
  <c r="F385" i="2" s="1"/>
  <c r="G385" i="2" s="1"/>
  <c r="C386" i="2" l="1"/>
  <c r="H385" i="2"/>
  <c r="D386" i="2" l="1"/>
  <c r="E386" i="2" l="1"/>
  <c r="F386" i="2" s="1"/>
  <c r="G386" i="2" s="1"/>
  <c r="C387" i="2" l="1"/>
  <c r="H386" i="2"/>
  <c r="D387" i="2" l="1"/>
  <c r="E387" i="2" s="1"/>
  <c r="F387" i="2" s="1"/>
  <c r="G387" i="2" s="1"/>
  <c r="H387" i="2" l="1"/>
  <c r="C388" i="2"/>
  <c r="D388" i="2" l="1"/>
  <c r="E388" i="2" l="1"/>
  <c r="F388" i="2" s="1"/>
  <c r="G388" i="2" s="1"/>
  <c r="H388" i="2" l="1"/>
  <c r="C389" i="2"/>
  <c r="D389" i="2" l="1"/>
  <c r="E389" i="2" s="1"/>
  <c r="F389" i="2" s="1"/>
  <c r="G389" i="2" s="1"/>
  <c r="C390" i="2" l="1"/>
  <c r="H389" i="2"/>
  <c r="D390" i="2" l="1"/>
  <c r="E390" i="2" s="1"/>
  <c r="F390" i="2" s="1"/>
  <c r="G390" i="2" l="1"/>
  <c r="H390" i="2" l="1"/>
  <c r="C391" i="2"/>
  <c r="D391" i="2" l="1"/>
  <c r="E391" i="2" s="1"/>
  <c r="F391" i="2" s="1"/>
  <c r="G391" i="2" s="1"/>
  <c r="C392" i="2" l="1"/>
  <c r="H391" i="2"/>
  <c r="D392" i="2" l="1"/>
  <c r="E392" i="2"/>
  <c r="F392" i="2" s="1"/>
  <c r="G392" i="2" s="1"/>
  <c r="C393" i="2" l="1"/>
  <c r="H392" i="2"/>
  <c r="D393" i="2" l="1"/>
  <c r="E393" i="2" s="1"/>
  <c r="F393" i="2" s="1"/>
  <c r="G393" i="2" l="1"/>
  <c r="H393" i="2" l="1"/>
  <c r="C394" i="2"/>
  <c r="D394" i="2" l="1"/>
  <c r="E394" i="2"/>
  <c r="F394" i="2" s="1"/>
  <c r="G394" i="2"/>
  <c r="C395" i="2" l="1"/>
  <c r="H394" i="2"/>
  <c r="D395" i="2" l="1"/>
  <c r="E395" i="2" l="1"/>
  <c r="F395" i="2" s="1"/>
  <c r="G395" i="2" s="1"/>
  <c r="H395" i="2" l="1"/>
  <c r="C396" i="2"/>
  <c r="D396" i="2" l="1"/>
  <c r="E396" i="2" l="1"/>
  <c r="F396" i="2" s="1"/>
  <c r="G396" i="2" s="1"/>
  <c r="H396" i="2" l="1"/>
  <c r="C397" i="2"/>
  <c r="D397" i="2" l="1"/>
  <c r="E397" i="2" s="1"/>
  <c r="F397" i="2" s="1"/>
  <c r="G397" i="2" s="1"/>
  <c r="H397" i="2" l="1"/>
  <c r="C398" i="2"/>
  <c r="D398" i="2" l="1"/>
  <c r="E398" i="2" s="1"/>
  <c r="F398" i="2" s="1"/>
  <c r="G398" i="2" s="1"/>
  <c r="C399" i="2" l="1"/>
  <c r="H398" i="2"/>
  <c r="D399" i="2" l="1"/>
  <c r="G399" i="2" s="1"/>
  <c r="E399" i="2"/>
  <c r="F399" i="2" s="1"/>
  <c r="H399" i="2" l="1"/>
  <c r="C400" i="2"/>
  <c r="D400" i="2" l="1"/>
  <c r="G400" i="2" s="1"/>
  <c r="E400" i="2"/>
  <c r="F400" i="2" s="1"/>
  <c r="H400" i="2" l="1"/>
  <c r="C401" i="2"/>
  <c r="D401" i="2" l="1"/>
  <c r="G401" i="2" s="1"/>
  <c r="E401" i="2"/>
  <c r="F401" i="2" s="1"/>
  <c r="H401" i="2" l="1"/>
  <c r="C402" i="2"/>
  <c r="D402" i="2" l="1"/>
  <c r="E402" i="2" s="1"/>
  <c r="F402" i="2" s="1"/>
  <c r="G402" i="2" l="1"/>
  <c r="C403" i="2" l="1"/>
  <c r="H402" i="2"/>
  <c r="D403" i="2" l="1"/>
  <c r="E403" i="2" l="1"/>
  <c r="F403" i="2" s="1"/>
  <c r="G403" i="2" s="1"/>
  <c r="H403" i="2" l="1"/>
  <c r="C404" i="2"/>
  <c r="D404" i="2" l="1"/>
  <c r="E404" i="2" l="1"/>
  <c r="F404" i="2" s="1"/>
  <c r="G404" i="2" s="1"/>
  <c r="H404" i="2" l="1"/>
  <c r="C405" i="2"/>
  <c r="D405" i="2" l="1"/>
  <c r="E405" i="2" l="1"/>
  <c r="F405" i="2" s="1"/>
  <c r="G405" i="2" s="1"/>
  <c r="C406" i="2" l="1"/>
  <c r="H405" i="2"/>
  <c r="D406" i="2" l="1"/>
  <c r="E406" i="2" s="1"/>
  <c r="F406" i="2" s="1"/>
  <c r="G406" i="2" s="1"/>
  <c r="H406" i="2" l="1"/>
  <c r="C407" i="2"/>
  <c r="D407" i="2" l="1"/>
  <c r="E407" i="2" l="1"/>
  <c r="F407" i="2" s="1"/>
  <c r="G407" i="2" s="1"/>
  <c r="C408" i="2" l="1"/>
  <c r="H407" i="2"/>
  <c r="D408" i="2" l="1"/>
  <c r="E408" i="2"/>
  <c r="F408" i="2" s="1"/>
  <c r="G408" i="2" s="1"/>
  <c r="C409" i="2" l="1"/>
  <c r="H408" i="2"/>
  <c r="D409" i="2" l="1"/>
  <c r="E409" i="2" l="1"/>
  <c r="F409" i="2" s="1"/>
  <c r="G409" i="2" s="1"/>
  <c r="H409" i="2" s="1"/>
</calcChain>
</file>

<file path=xl/sharedStrings.xml><?xml version="1.0" encoding="utf-8"?>
<sst xmlns="http://schemas.openxmlformats.org/spreadsheetml/2006/main" count="41" uniqueCount="20">
  <si>
    <t>Constante</t>
  </si>
  <si>
    <t>Valor</t>
  </si>
  <si>
    <t>k (kg^(1/4)/día)</t>
  </si>
  <si>
    <t>h (paso, días)</t>
  </si>
  <si>
    <t>m_max (kg)</t>
  </si>
  <si>
    <t>m0 (kg)</t>
  </si>
  <si>
    <t>Notas</t>
  </si>
  <si>
    <t>Las columnas usan fórmulas; revise las celdas para ver las fórmulas usadas.</t>
  </si>
  <si>
    <t>n</t>
  </si>
  <si>
    <t>t_n (d)</t>
  </si>
  <si>
    <t>m_n (kg)</t>
  </si>
  <si>
    <t>f(t_n,m_n)</t>
  </si>
  <si>
    <t>m_{n+1} = m_n + h*f</t>
  </si>
  <si>
    <t>f_n</t>
  </si>
  <si>
    <t>m_predictor</t>
  </si>
  <si>
    <t>f_predictor</t>
  </si>
  <si>
    <t>m_{n+1} (Heun)</t>
  </si>
  <si>
    <t>Error est (Heun-Euler)</t>
  </si>
  <si>
    <t>m_exact (kg)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</si>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</sst>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Euler: m(t)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Euler!$B$9:$B$409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Euler!$C$9:$C$409</c:f>
              <c:numCache>
                <c:formatCode>General</c:formatCode>
                <c:ptCount val="401"/>
                <c:pt idx="0">
                  <c:v>1</c:v>
                </c:pt>
                <c:pt idx="1">
                  <c:v>1.2279156575759573</c:v>
                </c:pt>
                <c:pt idx="2">
                  <c:v>1.4893454444646097</c:v>
                </c:pt>
                <c:pt idx="3">
                  <c:v>1.7864397475690861</c:v>
                </c:pt>
                <c:pt idx="4">
                  <c:v>2.121232436876054</c:v>
                </c:pt>
                <c:pt idx="5">
                  <c:v>2.4956304714099251</c:v>
                </c:pt>
                <c:pt idx="6">
                  <c:v>2.9114055999846054</c:v>
                </c:pt>
                <c:pt idx="7">
                  <c:v>3.3701879804245229</c:v>
                </c:pt>
                <c:pt idx="8">
                  <c:v>3.8734615430984625</c:v>
                </c:pt>
                <c:pt idx="9">
                  <c:v>4.4225609295877177</c:v>
                </c:pt>
                <c:pt idx="10">
                  <c:v>5.0186698442186541</c:v>
                </c:pt>
                <c:pt idx="11">
                  <c:v>5.6628206643740633</c:v>
                </c:pt>
                <c:pt idx="12">
                  <c:v>6.3558951644677339</c:v>
                </c:pt>
                <c:pt idx="13">
                  <c:v>7.098626217856852</c:v>
                </c:pt>
                <c:pt idx="14">
                  <c:v>7.8916003505055503</c:v>
                </c:pt>
                <c:pt idx="15">
                  <c:v>8.7352610296999558</c:v>
                </c:pt>
                <c:pt idx="16">
                  <c:v>9.62991258040487</c:v>
                </c:pt>
                <c:pt idx="17">
                  <c:v>10.575724630840613</c:v>
                </c:pt>
                <c:pt idx="18">
                  <c:v>11.572736997473628</c:v>
                </c:pt>
                <c:pt idx="19">
                  <c:v>12.620864927808265</c:v>
                </c:pt>
                <c:pt idx="20">
                  <c:v>13.719904627110825</c:v>
                </c:pt>
                <c:pt idx="21">
                  <c:v>14.869539002475431</c:v>
                </c:pt>
                <c:pt idx="22">
                  <c:v>16.069343564450453</c:v>
                </c:pt>
                <c:pt idx="23">
                  <c:v>17.318792432787983</c:v>
                </c:pt>
                <c:pt idx="24">
                  <c:v>18.617264398767013</c:v>
                </c:pt>
                <c:pt idx="25">
                  <c:v>19.964049001987647</c:v>
                </c:pt>
                <c:pt idx="26">
                  <c:v>21.358352584556279</c:v>
                </c:pt>
                <c:pt idx="27">
                  <c:v>22.799304290199245</c:v>
                </c:pt>
                <c:pt idx="28">
                  <c:v>24.285961980075733</c:v>
                </c:pt>
                <c:pt idx="29">
                  <c:v>25.817318040931127</c:v>
                </c:pt>
                <c:pt idx="30">
                  <c:v>27.392305064760624</c:v>
                </c:pt>
                <c:pt idx="31">
                  <c:v>29.0098013823618</c:v>
                </c:pt>
                <c:pt idx="32">
                  <c:v>30.668636436064517</c:v>
                </c:pt>
                <c:pt idx="33">
                  <c:v>32.367595979557748</c:v>
                </c:pt>
                <c:pt idx="34">
                  <c:v>34.105427095105448</c:v>
                </c:pt>
                <c:pt idx="35">
                  <c:v>35.880843020576229</c:v>
                </c:pt>
                <c:pt idx="36">
                  <c:v>37.692527780622775</c:v>
                </c:pt>
                <c:pt idx="37">
                  <c:v>39.539140618053281</c:v>
                </c:pt>
                <c:pt idx="38">
                  <c:v>41.419320222955626</c:v>
                </c:pt>
                <c:pt idx="39">
                  <c:v>43.331688758480261</c:v>
                </c:pt>
                <c:pt idx="40">
                  <c:v>45.274855683374454</c:v>
                </c:pt>
                <c:pt idx="41">
                  <c:v>47.247421372402236</c:v>
                </c:pt>
                <c:pt idx="42">
                  <c:v>49.24798053669344</c:v>
                </c:pt>
                <c:pt idx="43">
                  <c:v>51.275125446853437</c:v>
                </c:pt>
                <c:pt idx="44">
                  <c:v>53.327448962343695</c:v>
                </c:pt>
                <c:pt idx="45">
                  <c:v>55.403547371221798</c:v>
                </c:pt>
                <c:pt idx="46">
                  <c:v>57.502023044817982</c:v>
                </c:pt>
                <c:pt idx="47">
                  <c:v>59.62148691233174</c:v>
                </c:pt>
                <c:pt idx="48">
                  <c:v>61.760560760665214</c:v>
                </c:pt>
                <c:pt idx="49">
                  <c:v>63.917879365076736</c:v>
                </c:pt>
                <c:pt idx="50">
                  <c:v>66.092092456445371</c:v>
                </c:pt>
                <c:pt idx="51">
                  <c:v>68.281866531091481</c:v>
                </c:pt>
                <c:pt idx="52">
                  <c:v>70.485886509205258</c:v>
                </c:pt>
                <c:pt idx="53">
                  <c:v>72.702857248000001</c:v>
                </c:pt>
                <c:pt idx="54">
                  <c:v>74.93150491573428</c:v>
                </c:pt>
                <c:pt idx="55">
                  <c:v>77.170578232741889</c:v>
                </c:pt>
                <c:pt idx="56">
                  <c:v>79.418849585574421</c:v>
                </c:pt>
                <c:pt idx="57">
                  <c:v>81.675116020301672</c:v>
                </c:pt>
                <c:pt idx="58">
                  <c:v>83.938200120934368</c:v>
                </c:pt>
                <c:pt idx="59">
                  <c:v>86.20695077883326</c:v>
                </c:pt>
                <c:pt idx="60">
                  <c:v>88.4802438588532</c:v>
                </c:pt>
                <c:pt idx="61">
                  <c:v>90.756982767840867</c:v>
                </c:pt>
                <c:pt idx="62">
                  <c:v>93.036098930964073</c:v>
                </c:pt>
                <c:pt idx="63">
                  <c:v>95.31655218120062</c:v>
                </c:pt>
                <c:pt idx="64">
                  <c:v>97.59733106715673</c:v>
                </c:pt>
                <c:pt idx="65">
                  <c:v>99.877453084221926</c:v>
                </c:pt>
                <c:pt idx="66">
                  <c:v>102.15596483389906</c:v>
                </c:pt>
                <c:pt idx="67">
                  <c:v>104.43194211597759</c:v>
                </c:pt>
                <c:pt idx="68">
                  <c:v>106.70448995804492</c:v>
                </c:pt>
                <c:pt idx="69">
                  <c:v>108.97274258665708</c:v>
                </c:pt>
                <c:pt idx="70">
                  <c:v>111.23586334431616</c:v>
                </c:pt>
                <c:pt idx="71">
                  <c:v>113.4930445562287</c:v>
                </c:pt>
                <c:pt idx="72">
                  <c:v>115.74350735064786</c:v>
                </c:pt>
                <c:pt idx="73">
                  <c:v>117.98650143643266</c:v>
                </c:pt>
                <c:pt idx="74">
                  <c:v>120.22130484129053</c:v>
                </c:pt>
                <c:pt idx="75">
                  <c:v>122.44722361400569</c:v>
                </c:pt>
                <c:pt idx="76">
                  <c:v>124.66359149379549</c:v>
                </c:pt>
                <c:pt idx="77">
                  <c:v>126.86976954977996</c:v>
                </c:pt>
                <c:pt idx="78">
                  <c:v>129.06514579339714</c:v>
                </c:pt>
                <c:pt idx="79">
                  <c:v>131.24913476644852</c:v>
                </c:pt>
                <c:pt idx="80">
                  <c:v>133.42117710731438</c:v>
                </c:pt>
                <c:pt idx="81">
                  <c:v>135.58073909773947</c:v>
                </c:pt>
                <c:pt idx="82">
                  <c:v>137.72731219245463</c:v>
                </c:pt>
                <c:pt idx="83">
                  <c:v>139.86041253376902</c:v>
                </c:pt>
                <c:pt idx="84">
                  <c:v>141.97958045314266</c:v>
                </c:pt>
                <c:pt idx="85">
                  <c:v>144.08437996162749</c:v>
                </c:pt>
                <c:pt idx="86">
                  <c:v>146.17439823094944</c:v>
                </c:pt>
                <c:pt idx="87">
                  <c:v>148.24924506689163</c:v>
                </c:pt>
                <c:pt idx="88">
                  <c:v>150.30855237653287</c:v>
                </c:pt>
                <c:pt idx="89">
                  <c:v>152.35197363079229</c:v>
                </c:pt>
                <c:pt idx="90">
                  <c:v>154.3791833236335</c:v>
                </c:pt>
                <c:pt idx="91">
                  <c:v>156.38987642918795</c:v>
                </c:pt>
                <c:pt idx="92">
                  <c:v>158.38376785796808</c:v>
                </c:pt>
                <c:pt idx="93">
                  <c:v>160.3605919132554</c:v>
                </c:pt>
                <c:pt idx="94">
                  <c:v>162.32010174866824</c:v>
                </c:pt>
                <c:pt idx="95">
                  <c:v>164.26206882783623</c:v>
                </c:pt>
                <c:pt idx="96">
                  <c:v>166.18628238703627</c:v>
                </c:pt>
                <c:pt idx="97">
                  <c:v>168.09254890157442</c:v>
                </c:pt>
                <c:pt idx="98">
                  <c:v>169.98069155663316</c:v>
                </c:pt>
                <c:pt idx="99">
                  <c:v>171.85054972324068</c:v>
                </c:pt>
                <c:pt idx="100">
                  <c:v>173.70197843996027</c:v>
                </c:pt>
                <c:pt idx="101">
                  <c:v>175.53484790084187</c:v>
                </c:pt>
                <c:pt idx="102">
                  <c:v>177.34904295012569</c:v>
                </c:pt>
                <c:pt idx="103">
                  <c:v>179.14446258413801</c:v>
                </c:pt>
                <c:pt idx="104">
                  <c:v>180.92101946077275</c:v>
                </c:pt>
                <c:pt idx="105">
                  <c:v>182.67863941690834</c:v>
                </c:pt>
                <c:pt idx="106">
                  <c:v>184.41726099406839</c:v>
                </c:pt>
                <c:pt idx="107">
                  <c:v>186.13683497259609</c:v>
                </c:pt>
                <c:pt idx="108">
                  <c:v>187.83732391457542</c:v>
                </c:pt>
                <c:pt idx="109">
                  <c:v>189.5187017156988</c:v>
                </c:pt>
                <c:pt idx="110">
                  <c:v>191.18095316624905</c:v>
                </c:pt>
                <c:pt idx="111">
                  <c:v>192.82407352133364</c:v>
                </c:pt>
                <c:pt idx="112">
                  <c:v>194.44806808048151</c:v>
                </c:pt>
                <c:pt idx="113">
                  <c:v>196.05295177668725</c:v>
                </c:pt>
                <c:pt idx="114">
                  <c:v>197.63874877496366</c:v>
                </c:pt>
                <c:pt idx="115">
                  <c:v>199.20549208044062</c:v>
                </c:pt>
                <c:pt idx="116">
                  <c:v>200.75322315602889</c:v>
                </c:pt>
                <c:pt idx="117">
                  <c:v>202.28199154964727</c:v>
                </c:pt>
                <c:pt idx="118">
                  <c:v>203.79185453099481</c:v>
                </c:pt>
                <c:pt idx="119">
                  <c:v>205.28287673783316</c:v>
                </c:pt>
                <c:pt idx="120">
                  <c:v>206.75512983172933</c:v>
                </c:pt>
                <c:pt idx="121">
                  <c:v>208.20869216319568</c:v>
                </c:pt>
                <c:pt idx="122">
                  <c:v>209.64364844615136</c:v>
                </c:pt>
                <c:pt idx="123">
                  <c:v>211.06008944161817</c:v>
                </c:pt>
                <c:pt idx="124">
                  <c:v>212.45811165055332</c:v>
                </c:pt>
                <c:pt idx="125">
                  <c:v>213.83781701571255</c:v>
                </c:pt>
                <c:pt idx="126">
                  <c:v>215.19931263242839</c:v>
                </c:pt>
                <c:pt idx="127">
                  <c:v>216.54271046818093</c:v>
                </c:pt>
                <c:pt idx="128">
                  <c:v>217.86812709083173</c:v>
                </c:pt>
                <c:pt idx="129">
                  <c:v>219.17568340538554</c:v>
                </c:pt>
                <c:pt idx="130">
                  <c:v>220.46550439913912</c:v>
                </c:pt>
                <c:pt idx="131">
                  <c:v>221.73771889507225</c:v>
                </c:pt>
                <c:pt idx="132">
                  <c:v>222.99245931333144</c:v>
                </c:pt>
                <c:pt idx="133">
                  <c:v>224.22986144065419</c:v>
                </c:pt>
                <c:pt idx="134">
                  <c:v>225.45006420757824</c:v>
                </c:pt>
                <c:pt idx="135">
                  <c:v>226.65320947327825</c:v>
                </c:pt>
                <c:pt idx="136">
                  <c:v>227.83944181787038</c:v>
                </c:pt>
                <c:pt idx="137">
                  <c:v>229.00890834202372</c:v>
                </c:pt>
                <c:pt idx="138">
                  <c:v>230.16175847371704</c:v>
                </c:pt>
                <c:pt idx="139">
                  <c:v>231.29814378197787</c:v>
                </c:pt>
                <c:pt idx="140">
                  <c:v>232.4182177974412</c:v>
                </c:pt>
                <c:pt idx="141">
                  <c:v>233.52213583956515</c:v>
                </c:pt>
                <c:pt idx="142">
                  <c:v>234.61005485034099</c:v>
                </c:pt>
                <c:pt idx="143">
                  <c:v>235.68213323433562</c:v>
                </c:pt>
                <c:pt idx="144">
                  <c:v>236.73853070490568</c:v>
                </c:pt>
                <c:pt idx="145">
                  <c:v>237.77940813642306</c:v>
                </c:pt>
                <c:pt idx="146">
                  <c:v>238.80492742235339</c:v>
                </c:pt>
                <c:pt idx="147">
                  <c:v>239.8152513390304</c:v>
                </c:pt>
                <c:pt idx="148">
                  <c:v>240.81054341497025</c:v>
                </c:pt>
                <c:pt idx="149">
                  <c:v>241.79096780557265</c:v>
                </c:pt>
                <c:pt idx="150">
                  <c:v>242.75668917305637</c:v>
                </c:pt>
                <c:pt idx="151">
                  <c:v>243.70787257148004</c:v>
                </c:pt>
                <c:pt idx="152">
                  <c:v>244.64468333670024</c:v>
                </c:pt>
                <c:pt idx="153">
                  <c:v>245.56728698112187</c:v>
                </c:pt>
                <c:pt idx="154">
                  <c:v>246.47584909309768</c:v>
                </c:pt>
                <c:pt idx="155">
                  <c:v>247.37053524083674</c:v>
                </c:pt>
                <c:pt idx="156">
                  <c:v>248.25151088068381</c:v>
                </c:pt>
                <c:pt idx="157">
                  <c:v>249.11894126963384</c:v>
                </c:pt>
                <c:pt idx="158">
                  <c:v>249.97299138194941</c:v>
                </c:pt>
                <c:pt idx="159">
                  <c:v>250.81382582975041</c:v>
                </c:pt>
                <c:pt idx="160">
                  <c:v>251.6416087874486</c:v>
                </c:pt>
                <c:pt idx="161">
                  <c:v>252.45650391990236</c:v>
                </c:pt>
                <c:pt idx="162">
                  <c:v>253.25867431416927</c:v>
                </c:pt>
                <c:pt idx="163">
                  <c:v>254.04828241473732</c:v>
                </c:pt>
                <c:pt idx="164">
                  <c:v>254.8254899621179</c:v>
                </c:pt>
                <c:pt idx="165">
                  <c:v>255.59045793468664</c:v>
                </c:pt>
                <c:pt idx="166">
                  <c:v>256.34334649366093</c:v>
                </c:pt>
                <c:pt idx="167">
                  <c:v>257.08431493110527</c:v>
                </c:pt>
                <c:pt idx="168">
                  <c:v>257.81352162085898</c:v>
                </c:pt>
                <c:pt idx="169">
                  <c:v>258.53112397228256</c:v>
                </c:pt>
                <c:pt idx="170">
                  <c:v>259.23727838672255</c:v>
                </c:pt>
                <c:pt idx="171">
                  <c:v>259.93214021659657</c:v>
                </c:pt>
                <c:pt idx="172">
                  <c:v>260.61586372700356</c:v>
                </c:pt>
                <c:pt idx="173">
                  <c:v>261.28860205976582</c:v>
                </c:pt>
                <c:pt idx="174">
                  <c:v>261.95050719981322</c:v>
                </c:pt>
                <c:pt idx="175">
                  <c:v>262.60172994382123</c:v>
                </c:pt>
                <c:pt idx="176">
                  <c:v>263.24241987101783</c:v>
                </c:pt>
                <c:pt idx="177">
                  <c:v>263.87272531607613</c:v>
                </c:pt>
                <c:pt idx="178">
                  <c:v>264.492793344012</c:v>
                </c:pt>
                <c:pt idx="179">
                  <c:v>265.10276972700922</c:v>
                </c:pt>
                <c:pt idx="180">
                  <c:v>265.70279892309514</c:v>
                </c:pt>
                <c:pt idx="181">
                  <c:v>266.29302405659428</c:v>
                </c:pt>
                <c:pt idx="182">
                  <c:v>266.87358690028753</c:v>
                </c:pt>
                <c:pt idx="183">
                  <c:v>267.44462785920854</c:v>
                </c:pt>
                <c:pt idx="184">
                  <c:v>268.00628595600898</c:v>
                </c:pt>
                <c:pt idx="185">
                  <c:v>268.55869881782894</c:v>
                </c:pt>
                <c:pt idx="186">
                  <c:v>269.10200266460851</c:v>
                </c:pt>
                <c:pt idx="187">
                  <c:v>269.63633229877962</c:v>
                </c:pt>
                <c:pt idx="188">
                  <c:v>270.16182109627931</c:v>
                </c:pt>
                <c:pt idx="189">
                  <c:v>270.67860099882716</c:v>
                </c:pt>
                <c:pt idx="190">
                  <c:v>271.18680250741119</c:v>
                </c:pt>
                <c:pt idx="191">
                  <c:v>271.68655467692918</c:v>
                </c:pt>
                <c:pt idx="192">
                  <c:v>272.17798511193337</c:v>
                </c:pt>
                <c:pt idx="193">
                  <c:v>272.66121996342838</c:v>
                </c:pt>
                <c:pt idx="194">
                  <c:v>273.1363839266744</c:v>
                </c:pt>
                <c:pt idx="195">
                  <c:v>273.60360023994838</c:v>
                </c:pt>
                <c:pt idx="196">
                  <c:v>274.06299068421862</c:v>
                </c:pt>
                <c:pt idx="197">
                  <c:v>274.51467558368887</c:v>
                </c:pt>
                <c:pt idx="198">
                  <c:v>274.95877380716985</c:v>
                </c:pt>
                <c:pt idx="199">
                  <c:v>275.39540277023769</c:v>
                </c:pt>
                <c:pt idx="200">
                  <c:v>275.82467843814038</c:v>
                </c:pt>
                <c:pt idx="201">
                  <c:v>276.24671532941386</c:v>
                </c:pt>
                <c:pt idx="202">
                  <c:v>276.66162652017186</c:v>
                </c:pt>
                <c:pt idx="203">
                  <c:v>277.06952364903424</c:v>
                </c:pt>
                <c:pt idx="204">
                  <c:v>277.47051692265967</c:v>
                </c:pt>
                <c:pt idx="205">
                  <c:v>277.86471512185074</c:v>
                </c:pt>
                <c:pt idx="206">
                  <c:v>278.25222560819952</c:v>
                </c:pt>
                <c:pt idx="207">
                  <c:v>278.63315433124347</c:v>
                </c:pt>
                <c:pt idx="208">
                  <c:v>279.00760583610281</c:v>
                </c:pt>
                <c:pt idx="209">
                  <c:v>279.37568327157123</c:v>
                </c:pt>
                <c:pt idx="210">
                  <c:v>279.73748839863299</c:v>
                </c:pt>
                <c:pt idx="211">
                  <c:v>280.09312159938048</c:v>
                </c:pt>
                <c:pt idx="212">
                  <c:v>280.44268188630775</c:v>
                </c:pt>
                <c:pt idx="213">
                  <c:v>280.78626691195535</c:v>
                </c:pt>
                <c:pt idx="214">
                  <c:v>281.12397297888413</c:v>
                </c:pt>
                <c:pt idx="215">
                  <c:v>281.45589504995576</c:v>
                </c:pt>
                <c:pt idx="216">
                  <c:v>281.7821267588987</c:v>
                </c:pt>
                <c:pt idx="217">
                  <c:v>282.10276042113918</c:v>
                </c:pt>
                <c:pt idx="218">
                  <c:v>282.41788704487806</c:v>
                </c:pt>
                <c:pt idx="219">
                  <c:v>282.72759634239441</c:v>
                </c:pt>
                <c:pt idx="220">
                  <c:v>283.0319767415582</c:v>
                </c:pt>
                <c:pt idx="221">
                  <c:v>283.33111539753469</c:v>
                </c:pt>
                <c:pt idx="222">
                  <c:v>283.62509820466414</c:v>
                </c:pt>
                <c:pt idx="223">
                  <c:v>283.91400980850113</c:v>
                </c:pt>
                <c:pt idx="224">
                  <c:v>284.19793361799816</c:v>
                </c:pt>
                <c:pt idx="225">
                  <c:v>284.47695181781933</c:v>
                </c:pt>
                <c:pt idx="226">
                  <c:v>284.75114538077008</c:v>
                </c:pt>
                <c:pt idx="227">
                  <c:v>285.02059408033006</c:v>
                </c:pt>
                <c:pt idx="228">
                  <c:v>285.28537650327598</c:v>
                </c:pt>
                <c:pt idx="229">
                  <c:v>285.54557006238298</c:v>
                </c:pt>
                <c:pt idx="230">
                  <c:v>285.80125100919241</c:v>
                </c:pt>
                <c:pt idx="231">
                  <c:v>286.05249444683574</c:v>
                </c:pt>
                <c:pt idx="232">
                  <c:v>286.29937434290309</c:v>
                </c:pt>
                <c:pt idx="233">
                  <c:v>286.54196354234773</c:v>
                </c:pt>
                <c:pt idx="234">
                  <c:v>286.78033378041562</c:v>
                </c:pt>
                <c:pt idx="235">
                  <c:v>287.01455569559204</c:v>
                </c:pt>
                <c:pt idx="236">
                  <c:v>287.24469884255586</c:v>
                </c:pt>
                <c:pt idx="237">
                  <c:v>287.470831705134</c:v>
                </c:pt>
                <c:pt idx="238">
                  <c:v>287.6930217092476</c:v>
                </c:pt>
                <c:pt idx="239">
                  <c:v>287.91133523584273</c:v>
                </c:pt>
                <c:pt idx="240">
                  <c:v>288.12583763379894</c:v>
                </c:pt>
                <c:pt idx="241">
                  <c:v>288.33659323280847</c:v>
                </c:pt>
                <c:pt idx="242">
                  <c:v>288.54366535622</c:v>
                </c:pt>
                <c:pt idx="243">
                  <c:v>288.74711633384118</c:v>
                </c:pt>
                <c:pt idx="244">
                  <c:v>288.94700751469384</c:v>
                </c:pt>
                <c:pt idx="245">
                  <c:v>289.1433992797169</c:v>
                </c:pt>
                <c:pt idx="246">
                  <c:v>289.33635105441186</c:v>
                </c:pt>
                <c:pt idx="247">
                  <c:v>289.52592132142587</c:v>
                </c:pt>
                <c:pt idx="248">
                  <c:v>289.71216763306813</c:v>
                </c:pt>
                <c:pt idx="249">
                  <c:v>289.89514662375541</c:v>
                </c:pt>
                <c:pt idx="250">
                  <c:v>290.07491402238259</c:v>
                </c:pt>
                <c:pt idx="251">
                  <c:v>290.25152466461446</c:v>
                </c:pt>
                <c:pt idx="252">
                  <c:v>290.42503250509566</c:v>
                </c:pt>
                <c:pt idx="253">
                  <c:v>290.59549062957478</c:v>
                </c:pt>
                <c:pt idx="254">
                  <c:v>290.76295126694043</c:v>
                </c:pt>
                <c:pt idx="255">
                  <c:v>290.92746580116591</c:v>
                </c:pt>
                <c:pt idx="256">
                  <c:v>291.08908478315965</c:v>
                </c:pt>
                <c:pt idx="257">
                  <c:v>291.24785794251966</c:v>
                </c:pt>
                <c:pt idx="258">
                  <c:v>291.40383419918925</c:v>
                </c:pt>
                <c:pt idx="259">
                  <c:v>291.55706167501171</c:v>
                </c:pt>
                <c:pt idx="260">
                  <c:v>291.70758770518273</c:v>
                </c:pt>
                <c:pt idx="261">
                  <c:v>291.85545884959805</c:v>
                </c:pt>
                <c:pt idx="262">
                  <c:v>292.0007209040952</c:v>
                </c:pt>
                <c:pt idx="263">
                  <c:v>292.14341891158773</c:v>
                </c:pt>
                <c:pt idx="264">
                  <c:v>292.28359717309047</c:v>
                </c:pt>
                <c:pt idx="265">
                  <c:v>292.4212992586348</c:v>
                </c:pt>
                <c:pt idx="266">
                  <c:v>292.55656801807294</c:v>
                </c:pt>
                <c:pt idx="267">
                  <c:v>292.68944559176992</c:v>
                </c:pt>
                <c:pt idx="268">
                  <c:v>292.81997342118285</c:v>
                </c:pt>
                <c:pt idx="269">
                  <c:v>292.9481922593265</c:v>
                </c:pt>
                <c:pt idx="270">
                  <c:v>293.07414218112473</c:v>
                </c:pt>
                <c:pt idx="271">
                  <c:v>293.19786259364707</c:v>
                </c:pt>
                <c:pt idx="272">
                  <c:v>293.31939224623039</c:v>
                </c:pt>
                <c:pt idx="273">
                  <c:v>293.43876924048476</c:v>
                </c:pt>
                <c:pt idx="274">
                  <c:v>293.55603104018388</c:v>
                </c:pt>
                <c:pt idx="275">
                  <c:v>293.67121448103967</c:v>
                </c:pt>
                <c:pt idx="276">
                  <c:v>293.78435578036078</c:v>
                </c:pt>
                <c:pt idx="277">
                  <c:v>293.89549054659528</c:v>
                </c:pt>
                <c:pt idx="278">
                  <c:v>294.00465378875742</c:v>
                </c:pt>
                <c:pt idx="279">
                  <c:v>294.11187992573878</c:v>
                </c:pt>
                <c:pt idx="280">
                  <c:v>294.21720279550379</c:v>
                </c:pt>
                <c:pt idx="281">
                  <c:v>294.32065566417032</c:v>
                </c:pt>
                <c:pt idx="282">
                  <c:v>294.42227123497486</c:v>
                </c:pt>
                <c:pt idx="283">
                  <c:v>294.52208165712358</c:v>
                </c:pt>
                <c:pt idx="284">
                  <c:v>294.62011853452907</c:v>
                </c:pt>
                <c:pt idx="285">
                  <c:v>294.71641293443361</c:v>
                </c:pt>
                <c:pt idx="286">
                  <c:v>294.81099539591906</c:v>
                </c:pt>
                <c:pt idx="287">
                  <c:v>294.90389593830457</c:v>
                </c:pt>
                <c:pt idx="288">
                  <c:v>294.99514406943189</c:v>
                </c:pt>
                <c:pt idx="289">
                  <c:v>295.08476879383988</c:v>
                </c:pt>
                <c:pt idx="290">
                  <c:v>295.17279862082808</c:v>
                </c:pt>
                <c:pt idx="291">
                  <c:v>295.25926157241042</c:v>
                </c:pt>
                <c:pt idx="292">
                  <c:v>295.3441851911598</c:v>
                </c:pt>
                <c:pt idx="293">
                  <c:v>295.42759654794435</c:v>
                </c:pt>
                <c:pt idx="294">
                  <c:v>295.50952224955603</c:v>
                </c:pt>
                <c:pt idx="295">
                  <c:v>295.58998844623244</c:v>
                </c:pt>
                <c:pt idx="296">
                  <c:v>295.66902083907286</c:v>
                </c:pt>
                <c:pt idx="297">
                  <c:v>295.74664468734898</c:v>
                </c:pt>
                <c:pt idx="298">
                  <c:v>295.8228848157118</c:v>
                </c:pt>
                <c:pt idx="299">
                  <c:v>295.89776562129515</c:v>
                </c:pt>
                <c:pt idx="300">
                  <c:v>295.97131108071682</c:v>
                </c:pt>
                <c:pt idx="301">
                  <c:v>296.04354475697835</c:v>
                </c:pt>
                <c:pt idx="302">
                  <c:v>296.1144898062646</c:v>
                </c:pt>
                <c:pt idx="303">
                  <c:v>296.18416898464375</c:v>
                </c:pt>
                <c:pt idx="304">
                  <c:v>296.25260465466869</c:v>
                </c:pt>
                <c:pt idx="305">
                  <c:v>296.31981879188112</c:v>
                </c:pt>
                <c:pt idx="306">
                  <c:v>296.38583299121933</c:v>
                </c:pt>
                <c:pt idx="307">
                  <c:v>296.4506684733301</c:v>
                </c:pt>
                <c:pt idx="308">
                  <c:v>296.51434609078666</c:v>
                </c:pt>
                <c:pt idx="309">
                  <c:v>296.57688633421276</c:v>
                </c:pt>
                <c:pt idx="310">
                  <c:v>296.63830933831474</c:v>
                </c:pt>
                <c:pt idx="311">
                  <c:v>296.69863488782204</c:v>
                </c:pt>
                <c:pt idx="312">
                  <c:v>296.75788242333755</c:v>
                </c:pt>
                <c:pt idx="313">
                  <c:v>296.81607104709838</c:v>
                </c:pt>
                <c:pt idx="314">
                  <c:v>296.8732195286488</c:v>
                </c:pt>
                <c:pt idx="315">
                  <c:v>296.92934631042567</c:v>
                </c:pt>
                <c:pt idx="316">
                  <c:v>296.98446951325786</c:v>
                </c:pt>
                <c:pt idx="317">
                  <c:v>297.03860694178053</c:v>
                </c:pt>
                <c:pt idx="318">
                  <c:v>297.09177608976535</c:v>
                </c:pt>
                <c:pt idx="319">
                  <c:v>297.14399414536763</c:v>
                </c:pt>
                <c:pt idx="320">
                  <c:v>297.19527799629151</c:v>
                </c:pt>
                <c:pt idx="321">
                  <c:v>297.24564423487425</c:v>
                </c:pt>
                <c:pt idx="322">
                  <c:v>297.29510916309044</c:v>
                </c:pt>
                <c:pt idx="323">
                  <c:v>297.34368879747751</c:v>
                </c:pt>
                <c:pt idx="324">
                  <c:v>297.39139887398312</c:v>
                </c:pt>
                <c:pt idx="325">
                  <c:v>297.43825485273589</c:v>
                </c:pt>
                <c:pt idx="326">
                  <c:v>297.48427192274028</c:v>
                </c:pt>
                <c:pt idx="327">
                  <c:v>297.52946500649642</c:v>
                </c:pt>
                <c:pt idx="328">
                  <c:v>297.57384876454648</c:v>
                </c:pt>
                <c:pt idx="329">
                  <c:v>297.61743759994783</c:v>
                </c:pt>
                <c:pt idx="330">
                  <c:v>297.66024566267458</c:v>
                </c:pt>
                <c:pt idx="331">
                  <c:v>297.70228685394824</c:v>
                </c:pt>
                <c:pt idx="332">
                  <c:v>297.74357483049846</c:v>
                </c:pt>
                <c:pt idx="333">
                  <c:v>297.78412300875488</c:v>
                </c:pt>
                <c:pt idx="334">
                  <c:v>297.82394456897106</c:v>
                </c:pt>
                <c:pt idx="335">
                  <c:v>297.86305245928128</c:v>
                </c:pt>
                <c:pt idx="336">
                  <c:v>297.90145939969153</c:v>
                </c:pt>
                <c:pt idx="337">
                  <c:v>297.93917788600533</c:v>
                </c:pt>
                <c:pt idx="338">
                  <c:v>297.97622019368515</c:v>
                </c:pt>
                <c:pt idx="339">
                  <c:v>298.01259838165095</c:v>
                </c:pt>
                <c:pt idx="340">
                  <c:v>298.04832429601612</c:v>
                </c:pt>
                <c:pt idx="341">
                  <c:v>298.08340957376214</c:v>
                </c:pt>
                <c:pt idx="342">
                  <c:v>298.11786564635264</c:v>
                </c:pt>
                <c:pt idx="343">
                  <c:v>298.15170374328784</c:v>
                </c:pt>
                <c:pt idx="344">
                  <c:v>298.18493489560024</c:v>
                </c:pt>
                <c:pt idx="345">
                  <c:v>298.21756993929245</c:v>
                </c:pt>
                <c:pt idx="346">
                  <c:v>298.24961951871796</c:v>
                </c:pt>
                <c:pt idx="347">
                  <c:v>298.28109408990582</c:v>
                </c:pt>
                <c:pt idx="348">
                  <c:v>298.31200392382982</c:v>
                </c:pt>
                <c:pt idx="349">
                  <c:v>298.34235910962337</c:v>
                </c:pt>
                <c:pt idx="350">
                  <c:v>298.37216955774062</c:v>
                </c:pt>
                <c:pt idx="351">
                  <c:v>298.40144500306474</c:v>
                </c:pt>
                <c:pt idx="352">
                  <c:v>298.43019500796407</c:v>
                </c:pt>
                <c:pt idx="353">
                  <c:v>298.45842896529734</c:v>
                </c:pt>
                <c:pt idx="354">
                  <c:v>298.48615610136795</c:v>
                </c:pt>
                <c:pt idx="355">
                  <c:v>298.51338547882892</c:v>
                </c:pt>
                <c:pt idx="356">
                  <c:v>298.54012599953887</c:v>
                </c:pt>
                <c:pt idx="357">
                  <c:v>298.56638640736981</c:v>
                </c:pt>
                <c:pt idx="358">
                  <c:v>298.59217529096748</c:v>
                </c:pt>
                <c:pt idx="359">
                  <c:v>298.61750108646504</c:v>
                </c:pt>
                <c:pt idx="360">
                  <c:v>298.64237208015095</c:v>
                </c:pt>
                <c:pt idx="361">
                  <c:v>298.66679641109147</c:v>
                </c:pt>
                <c:pt idx="362">
                  <c:v>298.69078207370887</c:v>
                </c:pt>
                <c:pt idx="363">
                  <c:v>298.71433692031565</c:v>
                </c:pt>
                <c:pt idx="364">
                  <c:v>298.73746866360563</c:v>
                </c:pt>
                <c:pt idx="365">
                  <c:v>298.76018487910306</c:v>
                </c:pt>
                <c:pt idx="366">
                  <c:v>298.78249300756931</c:v>
                </c:pt>
                <c:pt idx="367">
                  <c:v>298.8044003573691</c:v>
                </c:pt>
                <c:pt idx="368">
                  <c:v>298.82591410679601</c:v>
                </c:pt>
                <c:pt idx="369">
                  <c:v>298.84704130635816</c:v>
                </c:pt>
                <c:pt idx="370">
                  <c:v>298.86778888102526</c:v>
                </c:pt>
                <c:pt idx="371">
                  <c:v>298.88816363243637</c:v>
                </c:pt>
                <c:pt idx="372">
                  <c:v>298.90817224107053</c:v>
                </c:pt>
                <c:pt idx="373">
                  <c:v>298.92782126837983</c:v>
                </c:pt>
                <c:pt idx="374">
                  <c:v>298.94711715888565</c:v>
                </c:pt>
                <c:pt idx="375">
                  <c:v>298.96606624223932</c:v>
                </c:pt>
                <c:pt idx="376">
                  <c:v>298.98467473524676</c:v>
                </c:pt>
                <c:pt idx="377">
                  <c:v>299.00294874385872</c:v>
                </c:pt>
                <c:pt idx="378">
                  <c:v>299.02089426512651</c:v>
                </c:pt>
                <c:pt idx="379">
                  <c:v>299.03851718912381</c:v>
                </c:pt>
                <c:pt idx="380">
                  <c:v>299.05582330083558</c:v>
                </c:pt>
                <c:pt idx="381">
                  <c:v>299.07281828201428</c:v>
                </c:pt>
                <c:pt idx="382">
                  <c:v>299.08950771300363</c:v>
                </c:pt>
                <c:pt idx="383">
                  <c:v>299.10589707453136</c:v>
                </c:pt>
                <c:pt idx="384">
                  <c:v>299.12199174947045</c:v>
                </c:pt>
                <c:pt idx="385">
                  <c:v>299.13779702457003</c:v>
                </c:pt>
                <c:pt idx="386">
                  <c:v>299.15331809215621</c:v>
                </c:pt>
                <c:pt idx="387">
                  <c:v>299.1685600518033</c:v>
                </c:pt>
                <c:pt idx="388">
                  <c:v>299.18352791197628</c:v>
                </c:pt>
                <c:pt idx="389">
                  <c:v>299.19822659164424</c:v>
                </c:pt>
                <c:pt idx="390">
                  <c:v>299.21266092186625</c:v>
                </c:pt>
                <c:pt idx="391">
                  <c:v>299.22683564734916</c:v>
                </c:pt>
                <c:pt idx="392">
                  <c:v>299.24075542797874</c:v>
                </c:pt>
                <c:pt idx="393">
                  <c:v>299.25442484032357</c:v>
                </c:pt>
                <c:pt idx="394">
                  <c:v>299.26784837911327</c:v>
                </c:pt>
                <c:pt idx="395">
                  <c:v>299.28103045869051</c:v>
                </c:pt>
                <c:pt idx="396">
                  <c:v>299.29397541443785</c:v>
                </c:pt>
                <c:pt idx="397">
                  <c:v>299.30668750417954</c:v>
                </c:pt>
                <c:pt idx="398">
                  <c:v>299.31917090955898</c:v>
                </c:pt>
                <c:pt idx="399">
                  <c:v>299.33142973739189</c:v>
                </c:pt>
                <c:pt idx="400">
                  <c:v>299.34346802099589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8-49C5-AE57-3C00C753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Heun: m(t)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Heun!$B$9:$B$409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Heun!$G$9:$G$409</c:f>
              <c:numCache>
                <c:formatCode>General</c:formatCode>
                <c:ptCount val="401"/>
                <c:pt idx="0">
                  <c:v>1.2446727222323049</c:v>
                </c:pt>
                <c:pt idx="1">
                  <c:v>1.5263738070417325</c:v>
                </c:pt>
                <c:pt idx="2">
                  <c:v>1.8472958714804664</c:v>
                </c:pt>
                <c:pt idx="3">
                  <c:v>2.2094727007784782</c:v>
                </c:pt>
                <c:pt idx="4">
                  <c:v>2.6147727309086681</c:v>
                </c:pt>
                <c:pt idx="5">
                  <c:v>3.0648947161052296</c:v>
                </c:pt>
                <c:pt idx="6">
                  <c:v>3.5613653050951228</c:v>
                </c:pt>
                <c:pt idx="7">
                  <c:v>4.1055382770870432</c:v>
                </c:pt>
                <c:pt idx="8">
                  <c:v>4.6985952134053441</c:v>
                </c:pt>
                <c:pt idx="9">
                  <c:v>5.3415474032751025</c:v>
                </c:pt>
                <c:pt idx="10">
                  <c:v>6.0352388028543462</c:v>
                </c:pt>
                <c:pt idx="11">
                  <c:v>6.7803498853469604</c:v>
                </c:pt>
                <c:pt idx="12">
                  <c:v>7.5774022370749741</c:v>
                </c:pt>
                <c:pt idx="13">
                  <c:v>8.4267637698872697</c:v>
                </c:pt>
                <c:pt idx="14">
                  <c:v>9.3286544343656406</c:v>
                </c:pt>
                <c:pt idx="15">
                  <c:v>10.283152331079544</c:v>
                </c:pt>
                <c:pt idx="16">
                  <c:v>11.290200128748214</c:v>
                </c:pt>
                <c:pt idx="17">
                  <c:v>12.349611708694212</c:v>
                </c:pt>
                <c:pt idx="18">
                  <c:v>13.461078964508419</c:v>
                </c:pt>
                <c:pt idx="19">
                  <c:v>14.624178694477886</c:v>
                </c:pt>
                <c:pt idx="20">
                  <c:v>15.838379532132491</c:v>
                </c:pt>
                <c:pt idx="21">
                  <c:v>17.103048867315383</c:v>
                </c:pt>
                <c:pt idx="22">
                  <c:v>18.417459716541174</c:v>
                </c:pt>
                <c:pt idx="23">
                  <c:v>19.780797507134711</c:v>
                </c:pt>
                <c:pt idx="24">
                  <c:v>21.192166744797227</c:v>
                </c:pt>
                <c:pt idx="25">
                  <c:v>22.65059753887607</c:v>
                </c:pt>
                <c:pt idx="26">
                  <c:v>24.155051963765732</c:v>
                </c:pt>
                <c:pt idx="27">
                  <c:v>25.704430238583619</c:v>
                </c:pt>
                <c:pt idx="28">
                  <c:v>27.297576710583453</c:v>
                </c:pt>
                <c:pt idx="29">
                  <c:v>28.933285630727646</c:v>
                </c:pt>
                <c:pt idx="30">
                  <c:v>30.610306712470692</c:v>
                </c:pt>
                <c:pt idx="31">
                  <c:v>32.327350467138217</c:v>
                </c:pt>
                <c:pt idx="32">
                  <c:v>34.083093311348719</c:v>
                </c:pt>
                <c:pt idx="33">
                  <c:v>35.876182443742181</c:v>
                </c:pt>
                <c:pt idx="34">
                  <c:v>37.705240489874889</c:v>
                </c:pt>
                <c:pt idx="35">
                  <c:v>39.568869915534052</c:v>
                </c:pt>
                <c:pt idx="36">
                  <c:v>41.465657209938321</c:v>
                </c:pt>
                <c:pt idx="37">
                  <c:v>43.394176841339309</c:v>
                </c:pt>
                <c:pt idx="38">
                  <c:v>45.352994988439953</c:v>
                </c:pt>
                <c:pt idx="39">
                  <c:v>47.340673051813738</c:v>
                </c:pt>
                <c:pt idx="40">
                  <c:v>49.355770950157329</c:v>
                </c:pt>
                <c:pt idx="41">
                  <c:v>51.396850206750287</c:v>
                </c:pt>
                <c:pt idx="42">
                  <c:v>53.46247683194094</c:v>
                </c:pt>
                <c:pt idx="43">
                  <c:v>55.551224007836872</c:v>
                </c:pt>
                <c:pt idx="44">
                  <c:v>57.661674581661458</c:v>
                </c:pt>
                <c:pt idx="45">
                  <c:v>59.792423374452611</c:v>
                </c:pt>
                <c:pt idx="46">
                  <c:v>61.942079311934592</c:v>
                </c:pt>
                <c:pt idx="47">
                  <c:v>64.109267384494657</c:v>
                </c:pt>
                <c:pt idx="48">
                  <c:v>66.292630443250374</c:v>
                </c:pt>
                <c:pt idx="49">
                  <c:v>68.49083083920614</c:v>
                </c:pt>
                <c:pt idx="50">
                  <c:v>70.702551912474121</c:v>
                </c:pt>
                <c:pt idx="51">
                  <c:v>72.926499338479644</c:v>
                </c:pt>
                <c:pt idx="52">
                  <c:v>75.161402337989443</c:v>
                </c:pt>
                <c:pt idx="53">
                  <c:v>77.406014757695345</c:v>
                </c:pt>
                <c:pt idx="54">
                  <c:v>79.65911602796109</c:v>
                </c:pt>
                <c:pt idx="55">
                  <c:v>81.919512004197514</c:v>
                </c:pt>
                <c:pt idx="56">
                  <c:v>84.186035698175317</c:v>
                </c:pt>
                <c:pt idx="57">
                  <c:v>86.457547905417243</c:v>
                </c:pt>
                <c:pt idx="58">
                  <c:v>88.732937734634106</c:v>
                </c:pt>
                <c:pt idx="59">
                  <c:v>91.011123044985325</c:v>
                </c:pt>
                <c:pt idx="60">
                  <c:v>93.29105079675459</c:v>
                </c:pt>
                <c:pt idx="61">
                  <c:v>95.57169732083787</c:v>
                </c:pt>
                <c:pt idx="62">
                  <c:v>97.852068512244443</c:v>
                </c:pt>
                <c:pt idx="63">
                  <c:v>100.13119995261437</c:v>
                </c:pt>
                <c:pt idx="64">
                  <c:v>102.40815696655794</c:v>
                </c:pt>
                <c:pt idx="65">
                  <c:v>104.68203461642555</c:v>
                </c:pt>
                <c:pt idx="66">
                  <c:v>106.95195763992103</c:v>
                </c:pt>
                <c:pt idx="67">
                  <c:v>109.21708033477803</c:v>
                </c:pt>
                <c:pt idx="68">
                  <c:v>111.47658639452897</c:v>
                </c:pt>
                <c:pt idx="69">
                  <c:v>113.72968869920865</c:v>
                </c:pt>
                <c:pt idx="70">
                  <c:v>115.97562906465191</c:v>
                </c:pt>
                <c:pt idx="71">
                  <c:v>118.2136779538654</c:v>
                </c:pt>
                <c:pt idx="72">
                  <c:v>120.44313415377934</c:v>
                </c:pt>
                <c:pt idx="73">
                  <c:v>122.66332442051539</c:v>
                </c:pt>
                <c:pt idx="74">
                  <c:v>124.87360309614211</c:v>
                </c:pt>
                <c:pt idx="75">
                  <c:v>127.0733516997298</c:v>
                </c:pt>
                <c:pt idx="76">
                  <c:v>129.26197849536237</c:v>
                </c:pt>
                <c:pt idx="77">
                  <c:v>131.43891803961446</c:v>
                </c:pt>
                <c:pt idx="78">
                  <c:v>133.60363071085885</c:v>
                </c:pt>
                <c:pt idx="79">
                  <c:v>135.75560222263005</c:v>
                </c:pt>
                <c:pt idx="80">
                  <c:v>137.8943431231377</c:v>
                </c:pt>
                <c:pt idx="81">
                  <c:v>140.01938828289508</c:v>
                </c:pt>
                <c:pt idx="82">
                  <c:v>142.13029637230579</c:v>
                </c:pt>
                <c:pt idx="83">
                  <c:v>144.22664933093392</c:v>
                </c:pt>
                <c:pt idx="84">
                  <c:v>146.30805183007149</c:v>
                </c:pt>
                <c:pt idx="85">
                  <c:v>148.37413073010859</c:v>
                </c:pt>
                <c:pt idx="86">
                  <c:v>150.42453453411025</c:v>
                </c:pt>
                <c:pt idx="87">
                  <c:v>152.45893283890564</c:v>
                </c:pt>
                <c:pt idx="88">
                  <c:v>154.47701578490253</c:v>
                </c:pt>
                <c:pt idx="89">
                  <c:v>156.47849350575152</c:v>
                </c:pt>
                <c:pt idx="90">
                  <c:v>158.46309557889973</c:v>
                </c:pt>
                <c:pt idx="91">
                  <c:v>160.43057047799476</c:v>
                </c:pt>
                <c:pt idx="92">
                  <c:v>162.38068502802295</c:v>
                </c:pt>
                <c:pt idx="93">
                  <c:v>164.31322386399464</c:v>
                </c:pt>
                <c:pt idx="94">
                  <c:v>166.22798889392109</c:v>
                </c:pt>
                <c:pt idx="95">
                  <c:v>168.12479876676304</c:v>
                </c:pt>
                <c:pt idx="96">
                  <c:v>170.00348834597031</c:v>
                </c:pt>
                <c:pt idx="97">
                  <c:v>171.86390818917488</c:v>
                </c:pt>
                <c:pt idx="98">
                  <c:v>173.70592403454441</c:v>
                </c:pt>
                <c:pt idx="99">
                  <c:v>175.52941629425408</c:v>
                </c:pt>
                <c:pt idx="100">
                  <c:v>177.33427955548484</c:v>
                </c:pt>
                <c:pt idx="101">
                  <c:v>179.12042208931229</c:v>
                </c:pt>
                <c:pt idx="102">
                  <c:v>180.8877653678073</c:v>
                </c:pt>
                <c:pt idx="103">
                  <c:v>182.63624358963037</c:v>
                </c:pt>
                <c:pt idx="104">
                  <c:v>184.36580321436372</c:v>
                </c:pt>
                <c:pt idx="105">
                  <c:v>186.07640250579121</c:v>
                </c:pt>
                <c:pt idx="106">
                  <c:v>187.7680110843026</c:v>
                </c:pt>
                <c:pt idx="107">
                  <c:v>189.44060948856941</c:v>
                </c:pt>
                <c:pt idx="108">
                  <c:v>191.09418874660997</c:v>
                </c:pt>
                <c:pt idx="109">
                  <c:v>192.7287499563364</c:v>
                </c:pt>
                <c:pt idx="110">
                  <c:v>194.34430387565018</c:v>
                </c:pt>
                <c:pt idx="111">
                  <c:v>195.9408705221316</c:v>
                </c:pt>
                <c:pt idx="112">
                  <c:v>197.51847878234651</c:v>
                </c:pt>
                <c:pt idx="113">
                  <c:v>199.07716603077424</c:v>
                </c:pt>
                <c:pt idx="114">
                  <c:v>200.61697775834341</c:v>
                </c:pt>
                <c:pt idx="115">
                  <c:v>202.13796721054467</c:v>
                </c:pt>
                <c:pt idx="116">
                  <c:v>203.64019503507504</c:v>
                </c:pt>
                <c:pt idx="117">
                  <c:v>205.12372893895414</c:v>
                </c:pt>
                <c:pt idx="118">
                  <c:v>206.58864335504006</c:v>
                </c:pt>
                <c:pt idx="119">
                  <c:v>208.03501911786071</c:v>
                </c:pt>
                <c:pt idx="120">
                  <c:v>209.46294314866626</c:v>
                </c:pt>
                <c:pt idx="121">
                  <c:v>210.87250814959833</c:v>
                </c:pt>
                <c:pt idx="122">
                  <c:v>212.2638123068634</c:v>
                </c:pt>
                <c:pt idx="123">
                  <c:v>213.63695900278944</c:v>
                </c:pt>
                <c:pt idx="124">
                  <c:v>214.99205653663884</c:v>
                </c:pt>
                <c:pt idx="125">
                  <c:v>216.32921785404358</c:v>
                </c:pt>
                <c:pt idx="126">
                  <c:v>217.64856028492358</c:v>
                </c:pt>
                <c:pt idx="127">
                  <c:v>218.95020528974476</c:v>
                </c:pt>
                <c:pt idx="128">
                  <c:v>220.23427821396839</c:v>
                </c:pt>
                <c:pt idx="129">
                  <c:v>221.5009080505406</c:v>
                </c:pt>
                <c:pt idx="130">
                  <c:v>222.75022721026735</c:v>
                </c:pt>
                <c:pt idx="131">
                  <c:v>223.98237129991827</c:v>
                </c:pt>
                <c:pt idx="132">
                  <c:v>225.19747890790023</c:v>
                </c:pt>
                <c:pt idx="133">
                  <c:v>226.39569139734019</c:v>
                </c:pt>
                <c:pt idx="134">
                  <c:v>227.57715270641614</c:v>
                </c:pt>
                <c:pt idx="135">
                  <c:v>228.74200915577345</c:v>
                </c:pt>
                <c:pt idx="136">
                  <c:v>229.89040926286413</c:v>
                </c:pt>
                <c:pt idx="137">
                  <c:v>231.02250356304654</c:v>
                </c:pt>
                <c:pt idx="138">
                  <c:v>232.13844443728252</c:v>
                </c:pt>
                <c:pt idx="139">
                  <c:v>233.23838594627048</c:v>
                </c:pt>
                <c:pt idx="140">
                  <c:v>234.3224836708531</c:v>
                </c:pt>
                <c:pt idx="141">
                  <c:v>235.39089455853926</c:v>
                </c:pt>
                <c:pt idx="142">
                  <c:v>236.4437767759816</c:v>
                </c:pt>
                <c:pt idx="143">
                  <c:v>237.48128956725179</c:v>
                </c:pt>
                <c:pt idx="144">
                  <c:v>238.50359311775779</c:v>
                </c:pt>
                <c:pt idx="145">
                  <c:v>239.5108484236487</c:v>
                </c:pt>
                <c:pt idx="146">
                  <c:v>240.50321716655495</c:v>
                </c:pt>
                <c:pt idx="147">
                  <c:v>241.4808615935134</c:v>
                </c:pt>
                <c:pt idx="148">
                  <c:v>242.44394440192912</c:v>
                </c:pt>
                <c:pt idx="149">
                  <c:v>243.39262862942803</c:v>
                </c:pt>
                <c:pt idx="150">
                  <c:v>244.32707754845651</c:v>
                </c:pt>
                <c:pt idx="151">
                  <c:v>245.24745456548675</c:v>
                </c:pt>
                <c:pt idx="152">
                  <c:v>246.15392312468907</c:v>
                </c:pt>
                <c:pt idx="153">
                  <c:v>247.04664661593486</c:v>
                </c:pt>
                <c:pt idx="154">
                  <c:v>247.92578828699641</c:v>
                </c:pt>
                <c:pt idx="155">
                  <c:v>248.79151115981242</c:v>
                </c:pt>
                <c:pt idx="156">
                  <c:v>249.64397795069075</c:v>
                </c:pt>
                <c:pt idx="157">
                  <c:v>250.48335099432259</c:v>
                </c:pt>
                <c:pt idx="158">
                  <c:v>251.30979217148473</c:v>
                </c:pt>
                <c:pt idx="159">
                  <c:v>252.12346284030966</c:v>
                </c:pt>
                <c:pt idx="160">
                  <c:v>252.92452377100554</c:v>
                </c:pt>
                <c:pt idx="161">
                  <c:v>253.713135083911</c:v>
                </c:pt>
                <c:pt idx="162">
                  <c:v>254.4894561907725</c:v>
                </c:pt>
                <c:pt idx="163">
                  <c:v>255.25364573913427</c:v>
                </c:pt>
                <c:pt idx="164">
                  <c:v>256.005861559734</c:v>
                </c:pt>
                <c:pt idx="165">
                  <c:v>256.74626061679987</c:v>
                </c:pt>
                <c:pt idx="166">
                  <c:v>257.47499896114698</c:v>
                </c:pt>
                <c:pt idx="167">
                  <c:v>258.19223168597409</c:v>
                </c:pt>
                <c:pt idx="168">
                  <c:v>258.89811288526448</c:v>
                </c:pt>
                <c:pt idx="169">
                  <c:v>259.59279561469612</c:v>
                </c:pt>
                <c:pt idx="170">
                  <c:v>260.27643185497021</c:v>
                </c:pt>
                <c:pt idx="171">
                  <c:v>260.94917247746935</c:v>
                </c:pt>
                <c:pt idx="172">
                  <c:v>261.61116721215762</c:v>
                </c:pt>
                <c:pt idx="173">
                  <c:v>262.26256461763984</c:v>
                </c:pt>
                <c:pt idx="174">
                  <c:v>262.90351205329733</c:v>
                </c:pt>
                <c:pt idx="175">
                  <c:v>263.53415565342084</c:v>
                </c:pt>
                <c:pt idx="176">
                  <c:v>264.15464030326388</c:v>
                </c:pt>
                <c:pt idx="177">
                  <c:v>264.76510961694123</c:v>
                </c:pt>
                <c:pt idx="178">
                  <c:v>265.36570591710017</c:v>
                </c:pt>
                <c:pt idx="179">
                  <c:v>265.9565702162937</c:v>
                </c:pt>
                <c:pt idx="180">
                  <c:v>266.53784219998767</c:v>
                </c:pt>
                <c:pt idx="181">
                  <c:v>267.10966021113552</c:v>
                </c:pt>
                <c:pt idx="182">
                  <c:v>267.67216123625593</c:v>
                </c:pt>
                <c:pt idx="183">
                  <c:v>268.22548089295196</c:v>
                </c:pt>
                <c:pt idx="184">
                  <c:v>268.76975341881064</c:v>
                </c:pt>
                <c:pt idx="185">
                  <c:v>269.30511166162495</c:v>
                </c:pt>
                <c:pt idx="186">
                  <c:v>269.83168707088186</c:v>
                </c:pt>
                <c:pt idx="187">
                  <c:v>270.34960969046131</c:v>
                </c:pt>
                <c:pt idx="188">
                  <c:v>270.85900815249363</c:v>
                </c:pt>
                <c:pt idx="189">
                  <c:v>271.360009672324</c:v>
                </c:pt>
                <c:pt idx="190">
                  <c:v>271.85274004453458</c:v>
                </c:pt>
                <c:pt idx="191">
                  <c:v>272.33732363997638</c:v>
                </c:pt>
                <c:pt idx="192">
                  <c:v>272.81388340376446</c:v>
                </c:pt>
                <c:pt idx="193">
                  <c:v>273.28254085419258</c:v>
                </c:pt>
                <c:pt idx="194">
                  <c:v>273.74341608252297</c:v>
                </c:pt>
                <c:pt idx="195">
                  <c:v>274.19662775361076</c:v>
                </c:pt>
                <c:pt idx="196">
                  <c:v>274.6422931073219</c:v>
                </c:pt>
                <c:pt idx="197">
                  <c:v>275.08052796070643</c:v>
                </c:pt>
                <c:pt idx="198">
                  <c:v>275.51144671088929</c:v>
                </c:pt>
                <c:pt idx="199">
                  <c:v>275.93516233864273</c:v>
                </c:pt>
                <c:pt idx="200">
                  <c:v>276.35178641260546</c:v>
                </c:pt>
                <c:pt idx="201">
                  <c:v>276.76142909411499</c:v>
                </c:pt>
                <c:pt idx="202">
                  <c:v>277.16419914262059</c:v>
                </c:pt>
                <c:pt idx="203">
                  <c:v>277.56020392164629</c:v>
                </c:pt>
                <c:pt idx="204">
                  <c:v>277.94954940527327</c:v>
                </c:pt>
                <c:pt idx="205">
                  <c:v>278.33234018511286</c:v>
                </c:pt>
                <c:pt idx="206">
                  <c:v>278.70867947774269</c:v>
                </c:pt>
                <c:pt idx="207">
                  <c:v>279.07866913257902</c:v>
                </c:pt>
                <c:pt idx="208">
                  <c:v>279.4424096401591</c:v>
                </c:pt>
                <c:pt idx="209">
                  <c:v>279.80000014080946</c:v>
                </c:pt>
                <c:pt idx="210">
                  <c:v>280.1515384336758</c:v>
                </c:pt>
                <c:pt idx="211">
                  <c:v>280.49712098609189</c:v>
                </c:pt>
                <c:pt idx="212">
                  <c:v>280.83684294326508</c:v>
                </c:pt>
                <c:pt idx="213">
                  <c:v>281.17079813825785</c:v>
                </c:pt>
                <c:pt idx="214">
                  <c:v>281.49907910224465</c:v>
                </c:pt>
                <c:pt idx="215">
                  <c:v>281.82177707502461</c:v>
                </c:pt>
                <c:pt idx="216">
                  <c:v>282.13898201577172</c:v>
                </c:pt>
                <c:pt idx="217">
                  <c:v>282.45078261400408</c:v>
                </c:pt>
                <c:pt idx="218">
                  <c:v>282.75726630075559</c:v>
                </c:pt>
                <c:pt idx="219">
                  <c:v>283.05851925993289</c:v>
                </c:pt>
                <c:pt idx="220">
                  <c:v>283.35462643984238</c:v>
                </c:pt>
                <c:pt idx="221">
                  <c:v>283.64567156487186</c:v>
                </c:pt>
                <c:pt idx="222">
                  <c:v>283.93173714731239</c:v>
                </c:pt>
                <c:pt idx="223">
                  <c:v>284.21290449930643</c:v>
                </c:pt>
                <c:pt idx="224">
                  <c:v>284.48925374490909</c:v>
                </c:pt>
                <c:pt idx="225">
                  <c:v>284.76086383224964</c:v>
                </c:pt>
                <c:pt idx="226">
                  <c:v>285.02781254578116</c:v>
                </c:pt>
                <c:pt idx="227">
                  <c:v>285.29017651860721</c:v>
                </c:pt>
                <c:pt idx="228">
                  <c:v>285.54803124487353</c:v>
                </c:pt>
                <c:pt idx="229">
                  <c:v>285.80145109221502</c:v>
                </c:pt>
                <c:pt idx="230">
                  <c:v>286.05050931424756</c:v>
                </c:pt>
                <c:pt idx="231">
                  <c:v>286.295278063095</c:v>
                </c:pt>
                <c:pt idx="232">
                  <c:v>286.5358284019423</c:v>
                </c:pt>
                <c:pt idx="233">
                  <c:v>286.77223031760604</c:v>
                </c:pt>
                <c:pt idx="234">
                  <c:v>287.004552733114</c:v>
                </c:pt>
                <c:pt idx="235">
                  <c:v>287.23286352028572</c:v>
                </c:pt>
                <c:pt idx="236">
                  <c:v>287.45722951230687</c:v>
                </c:pt>
                <c:pt idx="237">
                  <c:v>287.67771651628993</c:v>
                </c:pt>
                <c:pt idx="238">
                  <c:v>287.89438932581453</c:v>
                </c:pt>
                <c:pt idx="239">
                  <c:v>288.10731173344112</c:v>
                </c:pt>
                <c:pt idx="240">
                  <c:v>288.31654654319169</c:v>
                </c:pt>
                <c:pt idx="241">
                  <c:v>288.52215558299179</c:v>
                </c:pt>
                <c:pt idx="242">
                  <c:v>288.72419971706853</c:v>
                </c:pt>
                <c:pt idx="243">
                  <c:v>288.92273885829906</c:v>
                </c:pt>
                <c:pt idx="244">
                  <c:v>289.11783198050506</c:v>
                </c:pt>
                <c:pt idx="245">
                  <c:v>289.30953713068828</c:v>
                </c:pt>
                <c:pt idx="246">
                  <c:v>289.4979114412028</c:v>
                </c:pt>
                <c:pt idx="247">
                  <c:v>289.68301114186022</c:v>
                </c:pt>
                <c:pt idx="248">
                  <c:v>289.86489157196354</c:v>
                </c:pt>
                <c:pt idx="249">
                  <c:v>290.04360719226651</c:v>
                </c:pt>
                <c:pt idx="250">
                  <c:v>290.21921159685445</c:v>
                </c:pt>
                <c:pt idx="251">
                  <c:v>290.39175752494418</c:v>
                </c:pt>
                <c:pt idx="252">
                  <c:v>290.56129687259914</c:v>
                </c:pt>
                <c:pt idx="253">
                  <c:v>290.72788070435809</c:v>
                </c:pt>
                <c:pt idx="254">
                  <c:v>290.89155926477343</c:v>
                </c:pt>
                <c:pt idx="255">
                  <c:v>291.05238198985808</c:v>
                </c:pt>
                <c:pt idx="256">
                  <c:v>291.21039751843773</c:v>
                </c:pt>
                <c:pt idx="257">
                  <c:v>291.36565370340679</c:v>
                </c:pt>
                <c:pt idx="258">
                  <c:v>291.51819762288619</c:v>
                </c:pt>
                <c:pt idx="259">
                  <c:v>291.66807559128125</c:v>
                </c:pt>
                <c:pt idx="260">
                  <c:v>291.81533317023781</c:v>
                </c:pt>
                <c:pt idx="261">
                  <c:v>291.96001517949549</c:v>
                </c:pt>
                <c:pt idx="262">
                  <c:v>292.10216570763652</c:v>
                </c:pt>
                <c:pt idx="263">
                  <c:v>292.24182812272909</c:v>
                </c:pt>
                <c:pt idx="264">
                  <c:v>292.37904508286414</c:v>
                </c:pt>
                <c:pt idx="265">
                  <c:v>292.51385854658457</c:v>
                </c:pt>
                <c:pt idx="266">
                  <c:v>292.64630978320599</c:v>
                </c:pt>
                <c:pt idx="267">
                  <c:v>292.77643938302845</c:v>
                </c:pt>
                <c:pt idx="268">
                  <c:v>292.90428726743846</c:v>
                </c:pt>
                <c:pt idx="269">
                  <c:v>293.02989269890082</c:v>
                </c:pt>
                <c:pt idx="270">
                  <c:v>293.15329429083943</c:v>
                </c:pt>
                <c:pt idx="271">
                  <c:v>293.27453001740753</c:v>
                </c:pt>
                <c:pt idx="272">
                  <c:v>293.39363722314613</c:v>
                </c:pt>
                <c:pt idx="273">
                  <c:v>293.5106526325315</c:v>
                </c:pt>
                <c:pt idx="274">
                  <c:v>293.62561235941058</c:v>
                </c:pt>
                <c:pt idx="275">
                  <c:v>293.73855191632504</c:v>
                </c:pt>
                <c:pt idx="276">
                  <c:v>293.84950622372367</c:v>
                </c:pt>
                <c:pt idx="277">
                  <c:v>293.95850961906342</c:v>
                </c:pt>
                <c:pt idx="278">
                  <c:v>294.06559586579891</c:v>
                </c:pt>
                <c:pt idx="279">
                  <c:v>294.17079816226095</c:v>
                </c:pt>
                <c:pt idx="280">
                  <c:v>294.27414915042431</c:v>
                </c:pt>
                <c:pt idx="281">
                  <c:v>294.3756809245649</c:v>
                </c:pt>
                <c:pt idx="282">
                  <c:v>294.47542503980696</c:v>
                </c:pt>
                <c:pt idx="283">
                  <c:v>294.57341252056051</c:v>
                </c:pt>
                <c:pt idx="284">
                  <c:v>294.66967386884949</c:v>
                </c:pt>
                <c:pt idx="285">
                  <c:v>294.76423907253161</c:v>
                </c:pt>
                <c:pt idx="286">
                  <c:v>294.85713761340958</c:v>
                </c:pt>
                <c:pt idx="287">
                  <c:v>294.94839847523514</c:v>
                </c:pt>
                <c:pt idx="288">
                  <c:v>295.03805015160623</c:v>
                </c:pt>
                <c:pt idx="289">
                  <c:v>295.12612065375765</c:v>
                </c:pt>
                <c:pt idx="290">
                  <c:v>295.21263751824642</c:v>
                </c:pt>
                <c:pt idx="291">
                  <c:v>295.29762781453218</c:v>
                </c:pt>
                <c:pt idx="292">
                  <c:v>295.38111815245361</c:v>
                </c:pt>
                <c:pt idx="293">
                  <c:v>295.46313468960142</c:v>
                </c:pt>
                <c:pt idx="294">
                  <c:v>295.54370313858902</c:v>
                </c:pt>
                <c:pt idx="295">
                  <c:v>295.62284877422144</c:v>
                </c:pt>
                <c:pt idx="296">
                  <c:v>295.70059644056323</c:v>
                </c:pt>
                <c:pt idx="297">
                  <c:v>295.77697055790662</c:v>
                </c:pt>
                <c:pt idx="298">
                  <c:v>295.85199512964044</c:v>
                </c:pt>
                <c:pt idx="299">
                  <c:v>295.92569374902081</c:v>
                </c:pt>
                <c:pt idx="300">
                  <c:v>295.99808960584454</c:v>
                </c:pt>
                <c:pt idx="301">
                  <c:v>296.06920549302623</c:v>
                </c:pt>
                <c:pt idx="302">
                  <c:v>296.13906381307959</c:v>
                </c:pt>
                <c:pt idx="303">
                  <c:v>296.20768658450464</c:v>
                </c:pt>
                <c:pt idx="304">
                  <c:v>296.27509544808095</c:v>
                </c:pt>
                <c:pt idx="305">
                  <c:v>296.34131167306856</c:v>
                </c:pt>
                <c:pt idx="306">
                  <c:v>296.40635616331701</c:v>
                </c:pt>
                <c:pt idx="307">
                  <c:v>296.47024946328378</c:v>
                </c:pt>
                <c:pt idx="308">
                  <c:v>296.53301176396309</c:v>
                </c:pt>
                <c:pt idx="309">
                  <c:v>296.59466290872587</c:v>
                </c:pt>
                <c:pt idx="310">
                  <c:v>296.65522239907204</c:v>
                </c:pt>
                <c:pt idx="311">
                  <c:v>296.71470940029599</c:v>
                </c:pt>
                <c:pt idx="312">
                  <c:v>296.7731427470664</c:v>
                </c:pt>
                <c:pt idx="313">
                  <c:v>296.83054094892117</c:v>
                </c:pt>
                <c:pt idx="314">
                  <c:v>296.88692219567872</c:v>
                </c:pt>
                <c:pt idx="315">
                  <c:v>296.94230436276638</c:v>
                </c:pt>
                <c:pt idx="316">
                  <c:v>296.9967050164671</c:v>
                </c:pt>
                <c:pt idx="317">
                  <c:v>297.05014141908526</c:v>
                </c:pt>
                <c:pt idx="318">
                  <c:v>297.10263053403293</c:v>
                </c:pt>
                <c:pt idx="319">
                  <c:v>297.1541890308369</c:v>
                </c:pt>
                <c:pt idx="320">
                  <c:v>297.20483329006834</c:v>
                </c:pt>
                <c:pt idx="321">
                  <c:v>297.25457940819541</c:v>
                </c:pt>
                <c:pt idx="322">
                  <c:v>297.30344320235992</c:v>
                </c:pt>
                <c:pt idx="323">
                  <c:v>297.35144021507932</c:v>
                </c:pt>
                <c:pt idx="324">
                  <c:v>297.3985857188747</c:v>
                </c:pt>
                <c:pt idx="325">
                  <c:v>297.44489472082569</c:v>
                </c:pt>
                <c:pt idx="326">
                  <c:v>297.49038196705374</c:v>
                </c:pt>
                <c:pt idx="327">
                  <c:v>297.53506194713401</c:v>
                </c:pt>
                <c:pt idx="328">
                  <c:v>297.57894889843749</c:v>
                </c:pt>
                <c:pt idx="329">
                  <c:v>297.62205681040376</c:v>
                </c:pt>
                <c:pt idx="330">
                  <c:v>297.66439942874575</c:v>
                </c:pt>
                <c:pt idx="331">
                  <c:v>297.70599025958717</c:v>
                </c:pt>
                <c:pt idx="332">
                  <c:v>297.74684257353368</c:v>
                </c:pt>
                <c:pt idx="333">
                  <c:v>297.78696940967842</c:v>
                </c:pt>
                <c:pt idx="334">
                  <c:v>297.82638357954346</c:v>
                </c:pt>
                <c:pt idx="335">
                  <c:v>297.86509767095725</c:v>
                </c:pt>
                <c:pt idx="336">
                  <c:v>297.90312405186978</c:v>
                </c:pt>
                <c:pt idx="337">
                  <c:v>297.94047487410552</c:v>
                </c:pt>
                <c:pt idx="338">
                  <c:v>297.97716207705577</c:v>
                </c:pt>
                <c:pt idx="339">
                  <c:v>298.01319739131077</c:v>
                </c:pt>
                <c:pt idx="340">
                  <c:v>298.04859234223284</c:v>
                </c:pt>
                <c:pt idx="341">
                  <c:v>298.08335825347098</c:v>
                </c:pt>
                <c:pt idx="342">
                  <c:v>298.11750625041799</c:v>
                </c:pt>
                <c:pt idx="343">
                  <c:v>298.15104726361125</c:v>
                </c:pt>
                <c:pt idx="344">
                  <c:v>298.18399203207736</c:v>
                </c:pt>
                <c:pt idx="345">
                  <c:v>298.21635110662203</c:v>
                </c:pt>
                <c:pt idx="346">
                  <c:v>298.24813485306566</c:v>
                </c:pt>
                <c:pt idx="347">
                  <c:v>298.27935345542568</c:v>
                </c:pt>
                <c:pt idx="348">
                  <c:v>298.31001691904623</c:v>
                </c:pt>
                <c:pt idx="349">
                  <c:v>298.34013507367609</c:v>
                </c:pt>
                <c:pt idx="350">
                  <c:v>298.36971757649576</c:v>
                </c:pt>
                <c:pt idx="351">
                  <c:v>298.39877391509413</c:v>
                </c:pt>
                <c:pt idx="352">
                  <c:v>298.42731341039581</c:v>
                </c:pt>
                <c:pt idx="353">
                  <c:v>298.45534521953971</c:v>
                </c:pt>
                <c:pt idx="354">
                  <c:v>298.48287833870955</c:v>
                </c:pt>
                <c:pt idx="355">
                  <c:v>298.50992160591744</c:v>
                </c:pt>
                <c:pt idx="356">
                  <c:v>298.53648370374071</c:v>
                </c:pt>
                <c:pt idx="357">
                  <c:v>298.562573162013</c:v>
                </c:pt>
                <c:pt idx="358">
                  <c:v>298.58819836047036</c:v>
                </c:pt>
                <c:pt idx="359">
                  <c:v>298.61336753135282</c:v>
                </c:pt>
                <c:pt idx="360">
                  <c:v>298.63808876196254</c:v>
                </c:pt>
                <c:pt idx="361">
                  <c:v>298.66236999717864</c:v>
                </c:pt>
                <c:pt idx="362">
                  <c:v>298.68621904193009</c:v>
                </c:pt>
                <c:pt idx="363">
                  <c:v>298.7096435636264</c:v>
                </c:pt>
                <c:pt idx="364">
                  <c:v>298.73265109454798</c:v>
                </c:pt>
                <c:pt idx="365">
                  <c:v>298.75524903419546</c:v>
                </c:pt>
                <c:pt idx="366">
                  <c:v>298.77744465159981</c:v>
                </c:pt>
                <c:pt idx="367">
                  <c:v>298.79924508759319</c:v>
                </c:pt>
                <c:pt idx="368">
                  <c:v>298.82065735704117</c:v>
                </c:pt>
                <c:pt idx="369">
                  <c:v>298.84168835103736</c:v>
                </c:pt>
                <c:pt idx="370">
                  <c:v>298.86234483906065</c:v>
                </c:pt>
                <c:pt idx="371">
                  <c:v>298.88263347109591</c:v>
                </c:pt>
                <c:pt idx="372">
                  <c:v>298.90256077971839</c:v>
                </c:pt>
                <c:pt idx="373">
                  <c:v>298.92213318214289</c:v>
                </c:pt>
                <c:pt idx="374">
                  <c:v>298.94135698223789</c:v>
                </c:pt>
                <c:pt idx="375">
                  <c:v>298.96023837250544</c:v>
                </c:pt>
                <c:pt idx="376">
                  <c:v>298.97878343602707</c:v>
                </c:pt>
                <c:pt idx="377">
                  <c:v>298.99699814837669</c:v>
                </c:pt>
                <c:pt idx="378">
                  <c:v>299.01488837950058</c:v>
                </c:pt>
                <c:pt idx="379">
                  <c:v>299.03245989556535</c:v>
                </c:pt>
                <c:pt idx="380">
                  <c:v>299.04971836077425</c:v>
                </c:pt>
                <c:pt idx="381">
                  <c:v>299.06666933915221</c:v>
                </c:pt>
                <c:pt idx="382">
                  <c:v>299.08331829630049</c:v>
                </c:pt>
                <c:pt idx="383">
                  <c:v>299.09967060112098</c:v>
                </c:pt>
                <c:pt idx="384">
                  <c:v>299.11573152751112</c:v>
                </c:pt>
                <c:pt idx="385">
                  <c:v>299.13150625602941</c:v>
                </c:pt>
                <c:pt idx="386">
                  <c:v>299.14699987553257</c:v>
                </c:pt>
                <c:pt idx="387">
                  <c:v>299.16221738478424</c:v>
                </c:pt>
                <c:pt idx="388">
                  <c:v>299.17716369403621</c:v>
                </c:pt>
                <c:pt idx="389">
                  <c:v>299.19184362658217</c:v>
                </c:pt>
                <c:pt idx="390">
                  <c:v>299.20626192028487</c:v>
                </c:pt>
                <c:pt idx="391">
                  <c:v>299.22042322907674</c:v>
                </c:pt>
                <c:pt idx="392">
                  <c:v>299.23433212443479</c:v>
                </c:pt>
                <c:pt idx="393">
                  <c:v>299.24799309682982</c:v>
                </c:pt>
                <c:pt idx="394">
                  <c:v>299.26141055715061</c:v>
                </c:pt>
                <c:pt idx="395">
                  <c:v>299.27458883810368</c:v>
                </c:pt>
                <c:pt idx="396">
                  <c:v>299.28753219558854</c:v>
                </c:pt>
                <c:pt idx="397">
                  <c:v>299.30024481004921</c:v>
                </c:pt>
                <c:pt idx="398">
                  <c:v>299.31273078780237</c:v>
                </c:pt>
                <c:pt idx="399">
                  <c:v>299.32499416234248</c:v>
                </c:pt>
                <c:pt idx="400">
                  <c:v>299.33703889562418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B-42E2-BA97-73DD2140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Exacto: m(t)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Exacto!$B$9:$B$409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Exacto!$C$9:$C$409</c:f>
              <c:numCache>
                <c:formatCode>General</c:formatCode>
                <c:ptCount val="401"/>
                <c:pt idx="0">
                  <c:v>1</c:v>
                </c:pt>
                <c:pt idx="1">
                  <c:v>1.2457369067122479</c:v>
                </c:pt>
                <c:pt idx="2">
                  <c:v>1.5286485939791963</c:v>
                </c:pt>
                <c:pt idx="3">
                  <c:v>1.8509187928172972</c:v>
                </c:pt>
                <c:pt idx="4">
                  <c:v>2.2145716888045168</c:v>
                </c:pt>
                <c:pt idx="5">
                  <c:v>2.621465641911616</c:v>
                </c:pt>
                <c:pt idx="6">
                  <c:v>3.0732890506996662</c:v>
                </c:pt>
                <c:pt idx="7">
                  <c:v>3.571558090880552</c:v>
                </c:pt>
                <c:pt idx="8">
                  <c:v>4.1176160845258831</c:v>
                </c:pt>
                <c:pt idx="9">
                  <c:v>4.7126342802333445</c:v>
                </c:pt>
                <c:pt idx="10">
                  <c:v>5.3576138464997287</c:v>
                </c:pt>
                <c:pt idx="11">
                  <c:v>6.0533889005751629</c:v>
                </c:pt>
                <c:pt idx="12">
                  <c:v>6.8006304133379984</c:v>
                </c:pt>
                <c:pt idx="13">
                  <c:v>7.5998508473779625</c:v>
                </c:pt>
                <c:pt idx="14">
                  <c:v>8.4514094006380631</c:v>
                </c:pt>
                <c:pt idx="15">
                  <c:v>9.3555177417655226</c:v>
                </c:pt>
                <c:pt idx="16">
                  <c:v>10.312246135870799</c:v>
                </c:pt>
                <c:pt idx="17">
                  <c:v>11.32152987079475</c:v>
                </c:pt>
                <c:pt idx="18">
                  <c:v>12.383175904333235</c:v>
                </c:pt>
                <c:pt idx="19">
                  <c:v>13.496869662252982</c:v>
                </c:pt>
                <c:pt idx="20">
                  <c:v>14.66218192543435</c:v>
                </c:pt>
                <c:pt idx="21">
                  <c:v>15.878575752169008</c:v>
                </c:pt>
                <c:pt idx="22">
                  <c:v>17.145413388593727</c:v>
                </c:pt>
                <c:pt idx="23">
                  <c:v>18.461963126516682</c:v>
                </c:pt>
                <c:pt idx="24">
                  <c:v>19.827406073550513</c:v>
                </c:pt>
                <c:pt idx="25">
                  <c:v>21.240842805557648</c:v>
                </c:pt>
                <c:pt idx="26">
                  <c:v>22.701299875989246</c:v>
                </c:pt>
                <c:pt idx="27">
                  <c:v>24.207736160804707</c:v>
                </c:pt>
                <c:pt idx="28">
                  <c:v>25.759049021333389</c:v>
                </c:pt>
                <c:pt idx="29">
                  <c:v>27.354080270725824</c:v>
                </c:pt>
                <c:pt idx="30">
                  <c:v>28.991621932568897</c:v>
                </c:pt>
                <c:pt idx="31">
                  <c:v>30.670421782845828</c:v>
                </c:pt>
                <c:pt idx="32">
                  <c:v>32.389188668730313</c:v>
                </c:pt>
                <c:pt idx="33">
                  <c:v>34.146597599748098</c:v>
                </c:pt>
                <c:pt idx="34">
                  <c:v>35.941294608639659</c:v>
                </c:pt>
                <c:pt idx="35">
                  <c:v>37.771901380838671</c:v>
                </c:pt>
                <c:pt idx="36">
                  <c:v>39.637019652861795</c:v>
                </c:pt>
                <c:pt idx="37">
                  <c:v>41.535235381108926</c:v>
                </c:pt>
                <c:pt idx="38">
                  <c:v>43.465122683611796</c:v>
                </c:pt>
                <c:pt idx="39">
                  <c:v>45.425247558162049</c:v>
                </c:pt>
                <c:pt idx="40">
                  <c:v>47.414171381012601</c:v>
                </c:pt>
                <c:pt idx="41">
                  <c:v>49.430454190987213</c:v>
                </c:pt>
                <c:pt idx="42">
                  <c:v>51.472657764372279</c:v>
                </c:pt>
                <c:pt idx="43">
                  <c:v>53.539348486403277</c:v>
                </c:pt>
                <c:pt idx="44">
                  <c:v>55.629100025517815</c:v>
                </c:pt>
                <c:pt idx="45">
                  <c:v>57.740495816825103</c:v>
                </c:pt>
                <c:pt idx="46">
                  <c:v>59.87213136145516</c:v>
                </c:pt>
                <c:pt idx="47">
                  <c:v>62.022616348604537</c:v>
                </c:pt>
                <c:pt idx="48">
                  <c:v>64.190576607194004</c:v>
                </c:pt>
                <c:pt idx="49">
                  <c:v>66.374655894107804</c:v>
                </c:pt>
                <c:pt idx="50">
                  <c:v>68.573517525994575</c:v>
                </c:pt>
                <c:pt idx="51">
                  <c:v>70.785845861588285</c:v>
                </c:pt>
                <c:pt idx="52">
                  <c:v>73.010347641449798</c:v>
                </c:pt>
                <c:pt idx="53">
                  <c:v>75.245753191949689</c:v>
                </c:pt>
                <c:pt idx="54">
                  <c:v>77.490817500206362</c:v>
                </c:pt>
                <c:pt idx="55">
                  <c:v>79.744321166568781</c:v>
                </c:pt>
                <c:pt idx="56">
                  <c:v>82.005071241090775</c:v>
                </c:pt>
                <c:pt idx="57">
                  <c:v>84.271901950289418</c:v>
                </c:pt>
                <c:pt idx="58">
                  <c:v>86.5436753203102</c:v>
                </c:pt>
                <c:pt idx="59">
                  <c:v>88.819281702448691</c:v>
                </c:pt>
                <c:pt idx="60">
                  <c:v>91.097640206791141</c:v>
                </c:pt>
                <c:pt idx="61">
                  <c:v>93.377699049549577</c:v>
                </c:pt>
                <c:pt idx="62">
                  <c:v>95.658435819473411</c:v>
                </c:pt>
                <c:pt idx="63">
                  <c:v>97.938857668522829</c:v>
                </c:pt>
                <c:pt idx="64">
                  <c:v>100.21800143179358</c:v>
                </c:pt>
                <c:pt idx="65">
                  <c:v>102.49493368148504</c:v>
                </c:pt>
                <c:pt idx="66">
                  <c:v>104.7687507195067</c:v>
                </c:pt>
                <c:pt idx="67">
                  <c:v>107.03857851312314</c:v>
                </c:pt>
                <c:pt idx="68">
                  <c:v>109.30357257784695</c:v>
                </c:pt>
                <c:pt idx="69">
                  <c:v>111.56291781159464</c:v>
                </c:pt>
                <c:pt idx="70">
                  <c:v>113.81582828393965</c:v>
                </c:pt>
                <c:pt idx="71">
                  <c:v>116.06154698410978</c:v>
                </c:pt>
                <c:pt idx="72">
                  <c:v>118.29934553120046</c:v>
                </c:pt>
                <c:pt idx="73">
                  <c:v>120.52852384989846</c:v>
                </c:pt>
                <c:pt idx="74">
                  <c:v>122.74840981484554</c:v>
                </c:pt>
                <c:pt idx="75">
                  <c:v>124.95835886660417</c:v>
                </c:pt>
                <c:pt idx="76">
                  <c:v>127.15775360202846</c:v>
                </c:pt>
                <c:pt idx="77">
                  <c:v>129.34600334169133</c:v>
                </c:pt>
                <c:pt idx="78">
                  <c:v>131.52254367686962</c:v>
                </c:pt>
                <c:pt idx="79">
                  <c:v>133.68683599844303</c:v>
                </c:pt>
                <c:pt idx="80">
                  <c:v>135.83836700992967</c:v>
                </c:pt>
                <c:pt idx="81">
                  <c:v>137.97664822674338</c:v>
                </c:pt>
                <c:pt idx="82">
                  <c:v>140.10121546363393</c:v>
                </c:pt>
                <c:pt idx="83">
                  <c:v>142.21162831214687</c:v>
                </c:pt>
                <c:pt idx="84">
                  <c:v>144.30746960982432</c:v>
                </c:pt>
                <c:pt idx="85">
                  <c:v>146.38834490275579</c:v>
                </c:pt>
                <c:pt idx="86">
                  <c:v>148.45388190297822</c:v>
                </c:pt>
                <c:pt idx="87">
                  <c:v>150.50372994212802</c:v>
                </c:pt>
                <c:pt idx="88">
                  <c:v>152.53755942264576</c:v>
                </c:pt>
                <c:pt idx="89">
                  <c:v>154.55506126774068</c:v>
                </c:pt>
                <c:pt idx="90">
                  <c:v>156.55594637124022</c:v>
                </c:pt>
                <c:pt idx="91">
                  <c:v>158.5399450483568</c:v>
                </c:pt>
                <c:pt idx="92">
                  <c:v>160.50680648833381</c:v>
                </c:pt>
                <c:pt idx="93">
                  <c:v>162.45629820984928</c:v>
                </c:pt>
                <c:pt idx="94">
                  <c:v>164.38820551998717</c:v>
                </c:pt>
                <c:pt idx="95">
                  <c:v>166.30233097752151</c:v>
                </c:pt>
                <c:pt idx="96">
                  <c:v>168.19849386118747</c:v>
                </c:pt>
                <c:pt idx="97">
                  <c:v>170.0765296435597</c:v>
                </c:pt>
                <c:pt idx="98">
                  <c:v>171.93628947109625</c:v>
                </c:pt>
                <c:pt idx="99">
                  <c:v>173.7776396508547</c:v>
                </c:pt>
                <c:pt idx="100">
                  <c:v>175.60046114433572</c:v>
                </c:pt>
                <c:pt idx="101">
                  <c:v>177.40464906886208</c:v>
                </c:pt>
                <c:pt idx="102">
                  <c:v>179.1901122068536</c:v>
                </c:pt>
                <c:pt idx="103">
                  <c:v>180.95677252331976</c:v>
                </c:pt>
                <c:pt idx="104">
                  <c:v>182.70456469185032</c:v>
                </c:pt>
                <c:pt idx="105">
                  <c:v>184.43343562934683</c:v>
                </c:pt>
                <c:pt idx="106">
                  <c:v>186.14334403970292</c:v>
                </c:pt>
                <c:pt idx="107">
                  <c:v>187.83425996661126</c:v>
                </c:pt>
                <c:pt idx="108">
                  <c:v>189.50616435564092</c:v>
                </c:pt>
                <c:pt idx="109">
                  <c:v>191.1590486257048</c:v>
                </c:pt>
                <c:pt idx="110">
                  <c:v>192.79291425000596</c:v>
                </c:pt>
                <c:pt idx="111">
                  <c:v>194.40777234653211</c:v>
                </c:pt>
                <c:pt idx="112">
                  <c:v>196.00364327814009</c:v>
                </c:pt>
                <c:pt idx="113">
                  <c:v>197.58055626225504</c:v>
                </c:pt>
                <c:pt idx="114">
                  <c:v>199.13854899018736</c:v>
                </c:pt>
                <c:pt idx="115">
                  <c:v>200.67766725605287</c:v>
                </c:pt>
                <c:pt idx="116">
                  <c:v>202.19796459526572</c:v>
                </c:pt>
                <c:pt idx="117">
                  <c:v>203.69950193255815</c:v>
                </c:pt>
                <c:pt idx="118">
                  <c:v>205.18234723946659</c:v>
                </c:pt>
                <c:pt idx="119">
                  <c:v>206.6465752012125</c:v>
                </c:pt>
                <c:pt idx="120">
                  <c:v>208.09226689289258</c:v>
                </c:pt>
                <c:pt idx="121">
                  <c:v>209.51950946488407</c:v>
                </c:pt>
                <c:pt idx="122">
                  <c:v>210.92839583736128</c:v>
                </c:pt>
                <c:pt idx="123">
                  <c:v>212.31902440381</c:v>
                </c:pt>
                <c:pt idx="124">
                  <c:v>213.69149874341738</c:v>
                </c:pt>
                <c:pt idx="125">
                  <c:v>215.04592734221467</c:v>
                </c:pt>
                <c:pt idx="126">
                  <c:v>216.38242332283184</c:v>
                </c:pt>
                <c:pt idx="127">
                  <c:v>217.70110418273225</c:v>
                </c:pt>
                <c:pt idx="128">
                  <c:v>219.00209154077757</c:v>
                </c:pt>
                <c:pt idx="129">
                  <c:v>220.28551089197921</c:v>
                </c:pt>
                <c:pt idx="130">
                  <c:v>221.55149137028232</c:v>
                </c:pt>
                <c:pt idx="131">
                  <c:v>222.80016551922861</c:v>
                </c:pt>
                <c:pt idx="132">
                  <c:v>224.03166907034145</c:v>
                </c:pt>
                <c:pt idx="133">
                  <c:v>225.24614072907372</c:v>
                </c:pt>
                <c:pt idx="134">
                  <c:v>226.44372196815863</c:v>
                </c:pt>
                <c:pt idx="135">
                  <c:v>227.62455682820246</c:v>
                </c:pt>
                <c:pt idx="136">
                  <c:v>228.78879172535426</c:v>
                </c:pt>
                <c:pt idx="137">
                  <c:v>229.93657526589476</c:v>
                </c:pt>
                <c:pt idx="138">
                  <c:v>231.06805806757654</c:v>
                </c:pt>
                <c:pt idx="139">
                  <c:v>232.18339258755756</c:v>
                </c:pt>
                <c:pt idx="140">
                  <c:v>233.2827329567624</c:v>
                </c:pt>
                <c:pt idx="141">
                  <c:v>234.36623482051331</c:v>
                </c:pt>
                <c:pt idx="142">
                  <c:v>235.4340551852691</c:v>
                </c:pt>
                <c:pt idx="143">
                  <c:v>236.48635227131291</c:v>
                </c:pt>
                <c:pt idx="144">
                  <c:v>237.52328537123222</c:v>
                </c:pt>
                <c:pt idx="145">
                  <c:v>238.54501471403594</c:v>
                </c:pt>
                <c:pt idx="146">
                  <c:v>239.55170133475167</c:v>
                </c:pt>
                <c:pt idx="147">
                  <c:v>240.54350694935377</c:v>
                </c:pt>
                <c:pt idx="148">
                  <c:v>241.52059383487054</c:v>
                </c:pt>
                <c:pt idx="149">
                  <c:v>242.483124714523</c:v>
                </c:pt>
                <c:pt idx="150">
                  <c:v>243.43126264774835</c:v>
                </c:pt>
                <c:pt idx="151">
                  <c:v>244.36517092496655</c:v>
                </c:pt>
                <c:pt idx="152">
                  <c:v>245.28501296694603</c:v>
                </c:pt>
                <c:pt idx="153">
                  <c:v>246.19095222863302</c:v>
                </c:pt>
                <c:pt idx="154">
                  <c:v>247.08315210730473</c:v>
                </c:pt>
                <c:pt idx="155">
                  <c:v>247.96177585491671</c:v>
                </c:pt>
                <c:pt idx="156">
                  <c:v>248.82698649451001</c:v>
                </c:pt>
                <c:pt idx="157">
                  <c:v>249.67894674055054</c:v>
                </c:pt>
                <c:pt idx="158">
                  <c:v>250.51781892307744</c:v>
                </c:pt>
                <c:pt idx="159">
                  <c:v>251.34376491553303</c:v>
                </c:pt>
                <c:pt idx="160">
                  <c:v>252.15694606615756</c:v>
                </c:pt>
                <c:pt idx="161">
                  <c:v>252.95752313283006</c:v>
                </c:pt>
                <c:pt idx="162">
                  <c:v>253.74565622123831</c:v>
                </c:pt>
                <c:pt idx="163">
                  <c:v>254.52150472626957</c:v>
                </c:pt>
                <c:pt idx="164">
                  <c:v>255.28522727650864</c:v>
                </c:pt>
                <c:pt idx="165">
                  <c:v>256.03698168173878</c:v>
                </c:pt>
                <c:pt idx="166">
                  <c:v>256.77692488333969</c:v>
                </c:pt>
                <c:pt idx="167">
                  <c:v>257.50521290748208</c:v>
                </c:pt>
                <c:pt idx="168">
                  <c:v>258.22200082101841</c:v>
                </c:pt>
                <c:pt idx="169">
                  <c:v>258.92744268997535</c:v>
                </c:pt>
                <c:pt idx="170">
                  <c:v>259.62169154055141</c:v>
                </c:pt>
                <c:pt idx="171">
                  <c:v>260.3048993225301</c:v>
                </c:pt>
                <c:pt idx="172">
                  <c:v>260.97721687502064</c:v>
                </c:pt>
                <c:pt idx="173">
                  <c:v>261.63879389443525</c:v>
                </c:pt>
                <c:pt idx="174">
                  <c:v>262.28977890462568</c:v>
                </c:pt>
                <c:pt idx="175">
                  <c:v>262.93031922909188</c:v>
                </c:pt>
                <c:pt idx="176">
                  <c:v>263.56056096518438</c:v>
                </c:pt>
                <c:pt idx="177">
                  <c:v>264.18064896022611</c:v>
                </c:pt>
                <c:pt idx="178">
                  <c:v>264.79072678947631</c:v>
                </c:pt>
                <c:pt idx="179">
                  <c:v>265.39093673586342</c:v>
                </c:pt>
                <c:pt idx="180">
                  <c:v>265.98141977142052</c:v>
                </c:pt>
                <c:pt idx="181">
                  <c:v>266.56231554034815</c:v>
                </c:pt>
                <c:pt idx="182">
                  <c:v>267.13376234364677</c:v>
                </c:pt>
                <c:pt idx="183">
                  <c:v>267.69589712524726</c:v>
                </c:pt>
                <c:pt idx="184">
                  <c:v>268.24885545958125</c:v>
                </c:pt>
                <c:pt idx="185">
                  <c:v>268.79277154053068</c:v>
                </c:pt>
                <c:pt idx="186">
                  <c:v>269.32777817169688</c:v>
                </c:pt>
                <c:pt idx="187">
                  <c:v>269.85400675793431</c:v>
                </c:pt>
                <c:pt idx="188">
                  <c:v>270.37158729809374</c:v>
                </c:pt>
                <c:pt idx="189">
                  <c:v>270.88064837892011</c:v>
                </c:pt>
                <c:pt idx="190">
                  <c:v>271.38131717005876</c:v>
                </c:pt>
                <c:pt idx="191">
                  <c:v>271.87371942011544</c:v>
                </c:pt>
                <c:pt idx="192">
                  <c:v>272.35797945372423</c:v>
                </c:pt>
                <c:pt idx="193">
                  <c:v>272.83422016957974</c:v>
                </c:pt>
                <c:pt idx="194">
                  <c:v>273.30256303938347</c:v>
                </c:pt>
                <c:pt idx="195">
                  <c:v>273.76312810766751</c:v>
                </c:pt>
                <c:pt idx="196">
                  <c:v>274.2160339924493</c:v>
                </c:pt>
                <c:pt idx="197">
                  <c:v>274.66139788667942</c:v>
                </c:pt>
                <c:pt idx="198">
                  <c:v>275.09933556044069</c:v>
                </c:pt>
                <c:pt idx="199">
                  <c:v>275.52996136387031</c:v>
                </c:pt>
                <c:pt idx="200">
                  <c:v>275.953388230754</c:v>
                </c:pt>
                <c:pt idx="201">
                  <c:v>276.3697276827711</c:v>
                </c:pt>
                <c:pt idx="202">
                  <c:v>276.77908983435015</c:v>
                </c:pt>
                <c:pt idx="203">
                  <c:v>277.18158339810458</c:v>
                </c:pt>
                <c:pt idx="204">
                  <c:v>277.57731569081568</c:v>
                </c:pt>
                <c:pt idx="205">
                  <c:v>277.96639263993609</c:v>
                </c:pt>
                <c:pt idx="206">
                  <c:v>278.34891879058159</c:v>
                </c:pt>
                <c:pt idx="207">
                  <c:v>278.72499731298473</c:v>
                </c:pt>
                <c:pt idx="208">
                  <c:v>279.09473001038577</c:v>
                </c:pt>
                <c:pt idx="209">
                  <c:v>279.45821732733015</c:v>
                </c:pt>
                <c:pt idx="210">
                  <c:v>279.81555835835269</c:v>
                </c:pt>
                <c:pt idx="211">
                  <c:v>280.1668508570221</c:v>
                </c:pt>
                <c:pt idx="212">
                  <c:v>280.51219124532378</c:v>
                </c:pt>
                <c:pt idx="213">
                  <c:v>280.85167462335795</c:v>
                </c:pt>
                <c:pt idx="214">
                  <c:v>281.18539477933416</c:v>
                </c:pt>
                <c:pt idx="215">
                  <c:v>281.51344419983934</c:v>
                </c:pt>
                <c:pt idx="216">
                  <c:v>281.83591408036153</c:v>
                </c:pt>
                <c:pt idx="217">
                  <c:v>282.15289433605039</c:v>
                </c:pt>
                <c:pt idx="218">
                  <c:v>282.46447361269611</c:v>
                </c:pt>
                <c:pt idx="219">
                  <c:v>282.77073929790993</c:v>
                </c:pt>
                <c:pt idx="220">
                  <c:v>283.07177753248936</c:v>
                </c:pt>
                <c:pt idx="221">
                  <c:v>283.36767322195396</c:v>
                </c:pt>
                <c:pt idx="222">
                  <c:v>283.65851004823298</c:v>
                </c:pt>
                <c:pt idx="223">
                  <c:v>283.94437048149496</c:v>
                </c:pt>
                <c:pt idx="224">
                  <c:v>284.22533579210238</c:v>
                </c:pt>
                <c:pt idx="225">
                  <c:v>284.50148606267777</c:v>
                </c:pt>
                <c:pt idx="226">
                  <c:v>284.77290020027101</c:v>
                </c:pt>
                <c:pt idx="227">
                  <c:v>285.03965594861472</c:v>
                </c:pt>
                <c:pt idx="228">
                  <c:v>285.30182990045427</c:v>
                </c:pt>
                <c:pt idx="229">
                  <c:v>285.55949750994387</c:v>
                </c:pt>
                <c:pt idx="230">
                  <c:v>285.81273310509789</c:v>
                </c:pt>
                <c:pt idx="231">
                  <c:v>286.06160990028548</c:v>
                </c:pt>
                <c:pt idx="232">
                  <c:v>286.30620000876047</c:v>
                </c:pt>
                <c:pt idx="233">
                  <c:v>286.54657445521735</c:v>
                </c:pt>
                <c:pt idx="234">
                  <c:v>286.78280318836426</c:v>
                </c:pt>
                <c:pt idx="235">
                  <c:v>287.01495509350417</c:v>
                </c:pt>
                <c:pt idx="236">
                  <c:v>287.24309800511753</c:v>
                </c:pt>
                <c:pt idx="237">
                  <c:v>287.46729871943791</c:v>
                </c:pt>
                <c:pt idx="238">
                  <c:v>287.68762300701343</c:v>
                </c:pt>
                <c:pt idx="239">
                  <c:v>287.90413562524884</c:v>
                </c:pt>
                <c:pt idx="240">
                  <c:v>288.11690033091907</c:v>
                </c:pt>
                <c:pt idx="241">
                  <c:v>288.32597989265099</c:v>
                </c:pt>
                <c:pt idx="242">
                  <c:v>288.53143610336434</c:v>
                </c:pt>
                <c:pt idx="243">
                  <c:v>288.73332979267138</c:v>
                </c:pt>
                <c:pt idx="244">
                  <c:v>288.93172083922445</c:v>
                </c:pt>
                <c:pt idx="245">
                  <c:v>289.12666818300892</c:v>
                </c:pt>
                <c:pt idx="246">
                  <c:v>289.3182298375803</c:v>
                </c:pt>
                <c:pt idx="247">
                  <c:v>289.50646290223318</c:v>
                </c:pt>
                <c:pt idx="248">
                  <c:v>289.69142357410783</c:v>
                </c:pt>
                <c:pt idx="249">
                  <c:v>289.87316716022139</c:v>
                </c:pt>
                <c:pt idx="250">
                  <c:v>290.05174808942598</c:v>
                </c:pt>
                <c:pt idx="251">
                  <c:v>290.22721992428899</c:v>
                </c:pt>
                <c:pt idx="252">
                  <c:v>290.39963537289088</c:v>
                </c:pt>
                <c:pt idx="253">
                  <c:v>290.56904630053867</c:v>
                </c:pt>
                <c:pt idx="254">
                  <c:v>290.73550374139217</c:v>
                </c:pt>
                <c:pt idx="255">
                  <c:v>290.89905791000189</c:v>
                </c:pt>
                <c:pt idx="256">
                  <c:v>291.05975821275285</c:v>
                </c:pt>
                <c:pt idx="257">
                  <c:v>291.21765325921422</c:v>
                </c:pt>
                <c:pt idx="258">
                  <c:v>291.37279087339419</c:v>
                </c:pt>
                <c:pt idx="259">
                  <c:v>291.52521810489503</c:v>
                </c:pt>
                <c:pt idx="260">
                  <c:v>291.67498123996768</c:v>
                </c:pt>
                <c:pt idx="261">
                  <c:v>291.8221258124666</c:v>
                </c:pt>
                <c:pt idx="262">
                  <c:v>291.96669661470031</c:v>
                </c:pt>
                <c:pt idx="263">
                  <c:v>292.10873770817665</c:v>
                </c:pt>
                <c:pt idx="264">
                  <c:v>292.24829243424449</c:v>
                </c:pt>
                <c:pt idx="265">
                  <c:v>292.38540342462716</c:v>
                </c:pt>
                <c:pt idx="266">
                  <c:v>292.52011261184839</c:v>
                </c:pt>
                <c:pt idx="267">
                  <c:v>292.65246123955205</c:v>
                </c:pt>
                <c:pt idx="268">
                  <c:v>292.78248987270837</c:v>
                </c:pt>
                <c:pt idx="269">
                  <c:v>292.91023840771533</c:v>
                </c:pt>
                <c:pt idx="270">
                  <c:v>293.0357460823858</c:v>
                </c:pt>
                <c:pt idx="271">
                  <c:v>293.15905148582652</c:v>
                </c:pt>
                <c:pt idx="272">
                  <c:v>293.28019256820471</c:v>
                </c:pt>
                <c:pt idx="273">
                  <c:v>293.39920665040302</c:v>
                </c:pt>
                <c:pt idx="274">
                  <c:v>293.51613043356451</c:v>
                </c:pt>
                <c:pt idx="275">
                  <c:v>293.63100000852501</c:v>
                </c:pt>
                <c:pt idx="276">
                  <c:v>293.74385086513325</c:v>
                </c:pt>
                <c:pt idx="277">
                  <c:v>293.85471790146107</c:v>
                </c:pt>
                <c:pt idx="278">
                  <c:v>293.96363543290073</c:v>
                </c:pt>
                <c:pt idx="279">
                  <c:v>294.07063720115025</c:v>
                </c:pt>
                <c:pt idx="280">
                  <c:v>294.1757563830904</c:v>
                </c:pt>
                <c:pt idx="281">
                  <c:v>294.27902559954867</c:v>
                </c:pt>
                <c:pt idx="282">
                  <c:v>294.38047692395236</c:v>
                </c:pt>
                <c:pt idx="283">
                  <c:v>294.48014189087411</c:v>
                </c:pt>
                <c:pt idx="284">
                  <c:v>294.57805150446399</c:v>
                </c:pt>
                <c:pt idx="285">
                  <c:v>294.67423624677656</c:v>
                </c:pt>
                <c:pt idx="286">
                  <c:v>294.76872608598541</c:v>
                </c:pt>
                <c:pt idx="287">
                  <c:v>294.86155048449365</c:v>
                </c:pt>
                <c:pt idx="288">
                  <c:v>294.95273840693216</c:v>
                </c:pt>
                <c:pt idx="289">
                  <c:v>295.04231832805465</c:v>
                </c:pt>
                <c:pt idx="290">
                  <c:v>295.13031824052581</c:v>
                </c:pt>
                <c:pt idx="291">
                  <c:v>295.21676566260169</c:v>
                </c:pt>
                <c:pt idx="292">
                  <c:v>295.30168764570863</c:v>
                </c:pt>
                <c:pt idx="293">
                  <c:v>295.38511078191561</c:v>
                </c:pt>
                <c:pt idx="294">
                  <c:v>295.46706121130416</c:v>
                </c:pt>
                <c:pt idx="295">
                  <c:v>295.54756462923586</c:v>
                </c:pt>
                <c:pt idx="296">
                  <c:v>295.62664629351826</c:v>
                </c:pt>
                <c:pt idx="297">
                  <c:v>295.7043310314686</c:v>
                </c:pt>
                <c:pt idx="298">
                  <c:v>295.78064324688171</c:v>
                </c:pt>
                <c:pt idx="299">
                  <c:v>295.85560692689171</c:v>
                </c:pt>
                <c:pt idx="300">
                  <c:v>295.92924564874346</c:v>
                </c:pt>
                <c:pt idx="301">
                  <c:v>296.00158258646007</c:v>
                </c:pt>
                <c:pt idx="302">
                  <c:v>296.0726405174189</c:v>
                </c:pt>
                <c:pt idx="303">
                  <c:v>296.14244182882834</c:v>
                </c:pt>
                <c:pt idx="304">
                  <c:v>296.2110085241132</c:v>
                </c:pt>
                <c:pt idx="305">
                  <c:v>296.27836222920411</c:v>
                </c:pt>
                <c:pt idx="306">
                  <c:v>296.34452419873628</c:v>
                </c:pt>
                <c:pt idx="307">
                  <c:v>296.40951532215456</c:v>
                </c:pt>
                <c:pt idx="308">
                  <c:v>296.47335612973012</c:v>
                </c:pt>
                <c:pt idx="309">
                  <c:v>296.53606679848502</c:v>
                </c:pt>
                <c:pt idx="310">
                  <c:v>296.59766715803113</c:v>
                </c:pt>
                <c:pt idx="311">
                  <c:v>296.6581766963173</c:v>
                </c:pt>
                <c:pt idx="312">
                  <c:v>296.71761456529418</c:v>
                </c:pt>
                <c:pt idx="313">
                  <c:v>296.77599958648989</c:v>
                </c:pt>
                <c:pt idx="314">
                  <c:v>296.83335025650234</c:v>
                </c:pt>
                <c:pt idx="315">
                  <c:v>296.88968475240881</c:v>
                </c:pt>
                <c:pt idx="316">
                  <c:v>296.94502093708951</c:v>
                </c:pt>
                <c:pt idx="317">
                  <c:v>296.99937636447436</c:v>
                </c:pt>
                <c:pt idx="318">
                  <c:v>297.05276828470375</c:v>
                </c:pt>
                <c:pt idx="319">
                  <c:v>297.10521364921368</c:v>
                </c:pt>
                <c:pt idx="320">
                  <c:v>297.15672911573921</c:v>
                </c:pt>
                <c:pt idx="321">
                  <c:v>297.20733105324172</c:v>
                </c:pt>
                <c:pt idx="322">
                  <c:v>297.25703554675988</c:v>
                </c:pt>
                <c:pt idx="323">
                  <c:v>297.30585840218259</c:v>
                </c:pt>
                <c:pt idx="324">
                  <c:v>297.35381515094929</c:v>
                </c:pt>
                <c:pt idx="325">
                  <c:v>297.40092105467448</c:v>
                </c:pt>
                <c:pt idx="326">
                  <c:v>297.44719110970141</c:v>
                </c:pt>
                <c:pt idx="327">
                  <c:v>297.49264005158238</c:v>
                </c:pt>
                <c:pt idx="328">
                  <c:v>297.53728235948802</c:v>
                </c:pt>
                <c:pt idx="329">
                  <c:v>297.58113226054712</c:v>
                </c:pt>
                <c:pt idx="330">
                  <c:v>297.62420373411709</c:v>
                </c:pt>
                <c:pt idx="331">
                  <c:v>297.66651051598762</c:v>
                </c:pt>
                <c:pt idx="332">
                  <c:v>297.70806610251293</c:v>
                </c:pt>
                <c:pt idx="333">
                  <c:v>297.74888375468305</c:v>
                </c:pt>
                <c:pt idx="334">
                  <c:v>297.78897650212781</c:v>
                </c:pt>
                <c:pt idx="335">
                  <c:v>297.82835714705277</c:v>
                </c:pt>
                <c:pt idx="336">
                  <c:v>297.8670382681176</c:v>
                </c:pt>
                <c:pt idx="337">
                  <c:v>297.90503222424815</c:v>
                </c:pt>
                <c:pt idx="338">
                  <c:v>297.94235115838609</c:v>
                </c:pt>
                <c:pt idx="339">
                  <c:v>297.97900700118169</c:v>
                </c:pt>
                <c:pt idx="340">
                  <c:v>298.01501147462045</c:v>
                </c:pt>
                <c:pt idx="341">
                  <c:v>298.05037609559781</c:v>
                </c:pt>
                <c:pt idx="342">
                  <c:v>298.08511217942907</c:v>
                </c:pt>
                <c:pt idx="343">
                  <c:v>298.11923084330522</c:v>
                </c:pt>
                <c:pt idx="344">
                  <c:v>298.15274300969287</c:v>
                </c:pt>
                <c:pt idx="345">
                  <c:v>298.18565940967522</c:v>
                </c:pt>
                <c:pt idx="346">
                  <c:v>298.21799058624117</c:v>
                </c:pt>
                <c:pt idx="347">
                  <c:v>298.24974689751843</c:v>
                </c:pt>
                <c:pt idx="348">
                  <c:v>298.28093851995476</c:v>
                </c:pt>
                <c:pt idx="349">
                  <c:v>298.31157545144464</c:v>
                </c:pt>
                <c:pt idx="350">
                  <c:v>298.34166751440654</c:v>
                </c:pt>
                <c:pt idx="351">
                  <c:v>298.37122435880713</c:v>
                </c:pt>
                <c:pt idx="352">
                  <c:v>298.40025546513726</c:v>
                </c:pt>
                <c:pt idx="353">
                  <c:v>298.42877014733648</c:v>
                </c:pt>
                <c:pt idx="354">
                  <c:v>298.45677755567124</c:v>
                </c:pt>
                <c:pt idx="355">
                  <c:v>298.48428667956154</c:v>
                </c:pt>
                <c:pt idx="356">
                  <c:v>298.51130635036566</c:v>
                </c:pt>
                <c:pt idx="357">
                  <c:v>298.53784524411253</c:v>
                </c:pt>
                <c:pt idx="358">
                  <c:v>298.56391188419332</c:v>
                </c:pt>
                <c:pt idx="359">
                  <c:v>298.58951464400496</c:v>
                </c:pt>
                <c:pt idx="360">
                  <c:v>298.6146617495499</c:v>
                </c:pt>
                <c:pt idx="361">
                  <c:v>298.63936128199327</c:v>
                </c:pt>
                <c:pt idx="362">
                  <c:v>298.66362118017571</c:v>
                </c:pt>
                <c:pt idx="363">
                  <c:v>298.68744924308567</c:v>
                </c:pt>
                <c:pt idx="364">
                  <c:v>298.71085313228696</c:v>
                </c:pt>
                <c:pt idx="365">
                  <c:v>298.73384037430918</c:v>
                </c:pt>
                <c:pt idx="366">
                  <c:v>298.75641836299474</c:v>
                </c:pt>
                <c:pt idx="367">
                  <c:v>298.77859436180785</c:v>
                </c:pt>
                <c:pt idx="368">
                  <c:v>298.80037550610353</c:v>
                </c:pt>
                <c:pt idx="369">
                  <c:v>298.82176880535945</c:v>
                </c:pt>
                <c:pt idx="370">
                  <c:v>298.84278114536744</c:v>
                </c:pt>
                <c:pt idx="371">
                  <c:v>298.86341929039139</c:v>
                </c:pt>
                <c:pt idx="372">
                  <c:v>298.88368988528549</c:v>
                </c:pt>
                <c:pt idx="373">
                  <c:v>298.90359945757672</c:v>
                </c:pt>
                <c:pt idx="374">
                  <c:v>298.92315441951411</c:v>
                </c:pt>
                <c:pt idx="375">
                  <c:v>298.94236107008101</c:v>
                </c:pt>
                <c:pt idx="376">
                  <c:v>298.96122559697335</c:v>
                </c:pt>
                <c:pt idx="377">
                  <c:v>298.97975407854432</c:v>
                </c:pt>
                <c:pt idx="378">
                  <c:v>298.99795248571684</c:v>
                </c:pt>
                <c:pt idx="379">
                  <c:v>299.01582668386203</c:v>
                </c:pt>
                <c:pt idx="380">
                  <c:v>299.03338243464492</c:v>
                </c:pt>
                <c:pt idx="381">
                  <c:v>299.05062539784075</c:v>
                </c:pt>
                <c:pt idx="382">
                  <c:v>299.06756113311894</c:v>
                </c:pt>
                <c:pt idx="383">
                  <c:v>299.08419510179584</c:v>
                </c:pt>
                <c:pt idx="384">
                  <c:v>299.10053266855851</c:v>
                </c:pt>
                <c:pt idx="385">
                  <c:v>299.11657910315739</c:v>
                </c:pt>
                <c:pt idx="386">
                  <c:v>299.13233958207309</c:v>
                </c:pt>
                <c:pt idx="387">
                  <c:v>299.14781919014985</c:v>
                </c:pt>
                <c:pt idx="388">
                  <c:v>299.16302292220496</c:v>
                </c:pt>
                <c:pt idx="389">
                  <c:v>299.17795568460775</c:v>
                </c:pt>
                <c:pt idx="390">
                  <c:v>299.19262229683318</c:v>
                </c:pt>
                <c:pt idx="391">
                  <c:v>299.20702749298817</c:v>
                </c:pt>
                <c:pt idx="392">
                  <c:v>299.22117592331</c:v>
                </c:pt>
                <c:pt idx="393">
                  <c:v>299.23507215564109</c:v>
                </c:pt>
                <c:pt idx="394">
                  <c:v>299.24872067687795</c:v>
                </c:pt>
                <c:pt idx="395">
                  <c:v>299.26212589439251</c:v>
                </c:pt>
                <c:pt idx="396">
                  <c:v>299.27529213743287</c:v>
                </c:pt>
                <c:pt idx="397">
                  <c:v>299.28822365849601</c:v>
                </c:pt>
                <c:pt idx="398">
                  <c:v>299.30092463467986</c:v>
                </c:pt>
                <c:pt idx="399">
                  <c:v>299.31339916900998</c:v>
                </c:pt>
                <c:pt idx="400">
                  <c:v>299.32565129174293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A-4367-9248-8A3A07C7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t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1245260</xdr:colOff>
      <xdr:row>8</xdr:row>
      <xdr:rowOff>164935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workbookViewId="0">
      <pane ySplit="7" topLeftCell="A8" activePane="bottomLeft" state="frozen"/>
      <selection pane="bottomLeft" activeCell="C5" sqref="C5"/>
    </sheetView>
  </sheetViews>
  <sheetFormatPr baseColWidth="10" defaultColWidth="8.7265625" defaultRowHeight="14.5" x14ac:dyDescent="0.35"/>
  <cols>
    <col min="1" max="11" width="18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>
        <v>0.3</v>
      </c>
    </row>
    <row r="3" spans="1:5" x14ac:dyDescent="0.35">
      <c r="A3" t="s">
        <v>3</v>
      </c>
      <c r="B3">
        <v>1</v>
      </c>
    </row>
    <row r="4" spans="1:5" x14ac:dyDescent="0.35">
      <c r="A4" t="s">
        <v>4</v>
      </c>
      <c r="B4">
        <v>300</v>
      </c>
    </row>
    <row r="5" spans="1:5" x14ac:dyDescent="0.35">
      <c r="A5" t="s">
        <v>5</v>
      </c>
      <c r="B5">
        <v>1</v>
      </c>
    </row>
    <row r="6" spans="1:5" x14ac:dyDescent="0.35">
      <c r="A6" t="s">
        <v>6</v>
      </c>
      <c r="B6" t="s">
        <v>7</v>
      </c>
    </row>
    <row r="8" spans="1:5" x14ac:dyDescent="0.35">
      <c r="A8" t="s">
        <v>8</v>
      </c>
      <c r="B8" t="s">
        <v>9</v>
      </c>
      <c r="C8" t="s">
        <v>10</v>
      </c>
      <c r="D8" t="s">
        <v>11</v>
      </c>
      <c r="E8" t="s">
        <v>12</v>
      </c>
    </row>
    <row r="9" spans="1:5" x14ac:dyDescent="0.35">
      <c r="A9">
        <v>0</v>
      </c>
      <c r="B9">
        <v>0</v>
      </c>
      <c r="C9">
        <f>$B$5</f>
        <v>1</v>
      </c>
      <c r="D9">
        <f t="shared" ref="D9:D72" si="0">$B$2 * POWER(C9,3/4) * (1 - POWER(C9/$B$4,1/4))</f>
        <v>0.22791565757595736</v>
      </c>
      <c r="E9">
        <f t="shared" ref="E9:E72" si="1">C9 + $B$3 * D9</f>
        <v>1.2279156575759573</v>
      </c>
    </row>
    <row r="10" spans="1:5" x14ac:dyDescent="0.35">
      <c r="A10">
        <v>1</v>
      </c>
      <c r="B10">
        <f t="shared" ref="B10:B73" si="2">B9 + $B$3</f>
        <v>1</v>
      </c>
      <c r="C10">
        <f t="shared" ref="C10:C73" si="3">E9</f>
        <v>1.2279156575759573</v>
      </c>
      <c r="D10">
        <f t="shared" si="0"/>
        <v>0.26142978688865237</v>
      </c>
      <c r="E10">
        <f t="shared" si="1"/>
        <v>1.4893454444646097</v>
      </c>
    </row>
    <row r="11" spans="1:5" x14ac:dyDescent="0.35">
      <c r="A11">
        <v>2</v>
      </c>
      <c r="B11">
        <f t="shared" si="2"/>
        <v>2</v>
      </c>
      <c r="C11">
        <f t="shared" si="3"/>
        <v>1.4893454444646097</v>
      </c>
      <c r="D11">
        <f t="shared" si="0"/>
        <v>0.29709430310447643</v>
      </c>
      <c r="E11">
        <f t="shared" si="1"/>
        <v>1.7864397475690861</v>
      </c>
    </row>
    <row r="12" spans="1:5" x14ac:dyDescent="0.35">
      <c r="A12">
        <v>3</v>
      </c>
      <c r="B12">
        <f t="shared" si="2"/>
        <v>3</v>
      </c>
      <c r="C12">
        <f t="shared" si="3"/>
        <v>1.7864397475690861</v>
      </c>
      <c r="D12">
        <f t="shared" si="0"/>
        <v>0.33479268930696798</v>
      </c>
      <c r="E12">
        <f t="shared" si="1"/>
        <v>2.121232436876054</v>
      </c>
    </row>
    <row r="13" spans="1:5" x14ac:dyDescent="0.35">
      <c r="A13">
        <v>4</v>
      </c>
      <c r="B13">
        <f t="shared" si="2"/>
        <v>4</v>
      </c>
      <c r="C13">
        <f t="shared" si="3"/>
        <v>2.121232436876054</v>
      </c>
      <c r="D13">
        <f t="shared" si="0"/>
        <v>0.37439803453387099</v>
      </c>
      <c r="E13">
        <f t="shared" si="1"/>
        <v>2.4956304714099251</v>
      </c>
    </row>
    <row r="14" spans="1:5" x14ac:dyDescent="0.35">
      <c r="A14">
        <v>5</v>
      </c>
      <c r="B14">
        <f t="shared" si="2"/>
        <v>5</v>
      </c>
      <c r="C14">
        <f t="shared" si="3"/>
        <v>2.4956304714099251</v>
      </c>
      <c r="D14">
        <f t="shared" si="0"/>
        <v>0.41577512857468041</v>
      </c>
      <c r="E14">
        <f t="shared" si="1"/>
        <v>2.9114055999846054</v>
      </c>
    </row>
    <row r="15" spans="1:5" x14ac:dyDescent="0.35">
      <c r="A15">
        <v>6</v>
      </c>
      <c r="B15">
        <f t="shared" si="2"/>
        <v>6</v>
      </c>
      <c r="C15">
        <f t="shared" si="3"/>
        <v>2.9114055999846054</v>
      </c>
      <c r="D15">
        <f t="shared" si="0"/>
        <v>0.45878238043991743</v>
      </c>
      <c r="E15">
        <f t="shared" si="1"/>
        <v>3.3701879804245229</v>
      </c>
    </row>
    <row r="16" spans="1:5" x14ac:dyDescent="0.35">
      <c r="A16">
        <v>7</v>
      </c>
      <c r="B16">
        <f t="shared" si="2"/>
        <v>7</v>
      </c>
      <c r="C16">
        <f t="shared" si="3"/>
        <v>3.3701879804245229</v>
      </c>
      <c r="D16">
        <f t="shared" si="0"/>
        <v>0.50327356267393952</v>
      </c>
      <c r="E16">
        <f t="shared" si="1"/>
        <v>3.8734615430984625</v>
      </c>
    </row>
    <row r="17" spans="1:5" x14ac:dyDescent="0.35">
      <c r="A17">
        <v>8</v>
      </c>
      <c r="B17">
        <f t="shared" si="2"/>
        <v>8</v>
      </c>
      <c r="C17">
        <f t="shared" si="3"/>
        <v>3.8734615430984625</v>
      </c>
      <c r="D17">
        <f t="shared" si="0"/>
        <v>0.54909938648925538</v>
      </c>
      <c r="E17">
        <f t="shared" si="1"/>
        <v>4.4225609295877177</v>
      </c>
    </row>
    <row r="18" spans="1:5" x14ac:dyDescent="0.35">
      <c r="A18">
        <v>9</v>
      </c>
      <c r="B18">
        <f t="shared" si="2"/>
        <v>9</v>
      </c>
      <c r="C18">
        <f t="shared" si="3"/>
        <v>4.4225609295877177</v>
      </c>
      <c r="D18">
        <f t="shared" si="0"/>
        <v>0.59610891463093674</v>
      </c>
      <c r="E18">
        <f t="shared" si="1"/>
        <v>5.0186698442186541</v>
      </c>
    </row>
    <row r="19" spans="1:5" x14ac:dyDescent="0.35">
      <c r="A19">
        <v>10</v>
      </c>
      <c r="B19">
        <f t="shared" si="2"/>
        <v>10</v>
      </c>
      <c r="C19">
        <f t="shared" si="3"/>
        <v>5.0186698442186541</v>
      </c>
      <c r="D19">
        <f t="shared" si="0"/>
        <v>0.64415082015540925</v>
      </c>
      <c r="E19">
        <f t="shared" si="1"/>
        <v>5.6628206643740633</v>
      </c>
    </row>
    <row r="20" spans="1:5" x14ac:dyDescent="0.35">
      <c r="A20">
        <v>11</v>
      </c>
      <c r="B20">
        <f t="shared" si="2"/>
        <v>11</v>
      </c>
      <c r="C20">
        <f t="shared" si="3"/>
        <v>5.6628206643740633</v>
      </c>
      <c r="D20">
        <f t="shared" si="0"/>
        <v>0.69307450009367033</v>
      </c>
      <c r="E20">
        <f t="shared" si="1"/>
        <v>6.3558951644677339</v>
      </c>
    </row>
    <row r="21" spans="1:5" x14ac:dyDescent="0.35">
      <c r="A21">
        <v>12</v>
      </c>
      <c r="B21">
        <f t="shared" si="2"/>
        <v>12</v>
      </c>
      <c r="C21">
        <f t="shared" si="3"/>
        <v>6.3558951644677339</v>
      </c>
      <c r="D21">
        <f t="shared" si="0"/>
        <v>0.74273105338911849</v>
      </c>
      <c r="E21">
        <f t="shared" si="1"/>
        <v>7.098626217856852</v>
      </c>
    </row>
    <row r="22" spans="1:5" x14ac:dyDescent="0.35">
      <c r="A22">
        <v>13</v>
      </c>
      <c r="B22">
        <f t="shared" si="2"/>
        <v>13</v>
      </c>
      <c r="C22">
        <f t="shared" si="3"/>
        <v>7.098626217856852</v>
      </c>
      <c r="D22">
        <f t="shared" si="0"/>
        <v>0.79297413264869787</v>
      </c>
      <c r="E22">
        <f t="shared" si="1"/>
        <v>7.8916003505055503</v>
      </c>
    </row>
    <row r="23" spans="1:5" x14ac:dyDescent="0.35">
      <c r="A23">
        <v>14</v>
      </c>
      <c r="B23">
        <f t="shared" si="2"/>
        <v>14</v>
      </c>
      <c r="C23">
        <f t="shared" si="3"/>
        <v>7.8916003505055503</v>
      </c>
      <c r="D23">
        <f t="shared" si="0"/>
        <v>0.8436606791944059</v>
      </c>
      <c r="E23">
        <f t="shared" si="1"/>
        <v>8.7352610296999558</v>
      </c>
    </row>
    <row r="24" spans="1:5" x14ac:dyDescent="0.35">
      <c r="A24">
        <v>15</v>
      </c>
      <c r="B24">
        <f t="shared" si="2"/>
        <v>15</v>
      </c>
      <c r="C24">
        <f t="shared" si="3"/>
        <v>8.7352610296999558</v>
      </c>
      <c r="D24">
        <f t="shared" si="0"/>
        <v>0.89465155070491353</v>
      </c>
      <c r="E24">
        <f t="shared" si="1"/>
        <v>9.62991258040487</v>
      </c>
    </row>
    <row r="25" spans="1:5" x14ac:dyDescent="0.35">
      <c r="A25">
        <v>16</v>
      </c>
      <c r="B25">
        <f t="shared" si="2"/>
        <v>16</v>
      </c>
      <c r="C25">
        <f t="shared" si="3"/>
        <v>9.62991258040487</v>
      </c>
      <c r="D25">
        <f t="shared" si="0"/>
        <v>0.94581205043574357</v>
      </c>
      <c r="E25">
        <f t="shared" si="1"/>
        <v>10.575724630840613</v>
      </c>
    </row>
    <row r="26" spans="1:5" x14ac:dyDescent="0.35">
      <c r="A26">
        <v>17</v>
      </c>
      <c r="B26">
        <f t="shared" si="2"/>
        <v>17</v>
      </c>
      <c r="C26">
        <f t="shared" si="3"/>
        <v>10.575724630840613</v>
      </c>
      <c r="D26">
        <f t="shared" si="0"/>
        <v>0.99701236663301551</v>
      </c>
      <c r="E26">
        <f t="shared" si="1"/>
        <v>11.572736997473628</v>
      </c>
    </row>
    <row r="27" spans="1:5" x14ac:dyDescent="0.35">
      <c r="A27">
        <v>18</v>
      </c>
      <c r="B27">
        <f t="shared" si="2"/>
        <v>18</v>
      </c>
      <c r="C27">
        <f t="shared" si="3"/>
        <v>11.572736997473628</v>
      </c>
      <c r="D27">
        <f t="shared" si="0"/>
        <v>1.0481279303346369</v>
      </c>
      <c r="E27">
        <f t="shared" si="1"/>
        <v>12.620864927808265</v>
      </c>
    </row>
    <row r="28" spans="1:5" x14ac:dyDescent="0.35">
      <c r="A28">
        <v>19</v>
      </c>
      <c r="B28">
        <f t="shared" si="2"/>
        <v>19</v>
      </c>
      <c r="C28">
        <f t="shared" si="3"/>
        <v>12.620864927808265</v>
      </c>
      <c r="D28">
        <f t="shared" si="0"/>
        <v>1.0990396993025611</v>
      </c>
      <c r="E28">
        <f t="shared" si="1"/>
        <v>13.719904627110825</v>
      </c>
    </row>
    <row r="29" spans="1:5" x14ac:dyDescent="0.35">
      <c r="A29">
        <v>20</v>
      </c>
      <c r="B29">
        <f t="shared" si="2"/>
        <v>20</v>
      </c>
      <c r="C29">
        <f t="shared" si="3"/>
        <v>13.719904627110825</v>
      </c>
      <c r="D29">
        <f t="shared" si="0"/>
        <v>1.1496343753646061</v>
      </c>
      <c r="E29">
        <f t="shared" si="1"/>
        <v>14.869539002475431</v>
      </c>
    </row>
    <row r="30" spans="1:5" x14ac:dyDescent="0.35">
      <c r="A30">
        <v>21</v>
      </c>
      <c r="B30">
        <f t="shared" si="2"/>
        <v>21</v>
      </c>
      <c r="C30">
        <f t="shared" si="3"/>
        <v>14.869539002475431</v>
      </c>
      <c r="D30">
        <f t="shared" si="0"/>
        <v>1.1998045619750211</v>
      </c>
      <c r="E30">
        <f t="shared" si="1"/>
        <v>16.069343564450453</v>
      </c>
    </row>
    <row r="31" spans="1:5" x14ac:dyDescent="0.35">
      <c r="A31">
        <v>22</v>
      </c>
      <c r="B31">
        <f t="shared" si="2"/>
        <v>22</v>
      </c>
      <c r="C31">
        <f t="shared" si="3"/>
        <v>16.069343564450453</v>
      </c>
      <c r="D31">
        <f t="shared" si="0"/>
        <v>1.2494488683375311</v>
      </c>
      <c r="E31">
        <f t="shared" si="1"/>
        <v>17.318792432787983</v>
      </c>
    </row>
    <row r="32" spans="1:5" x14ac:dyDescent="0.35">
      <c r="A32">
        <v>23</v>
      </c>
      <c r="B32">
        <f t="shared" si="2"/>
        <v>23</v>
      </c>
      <c r="C32">
        <f t="shared" si="3"/>
        <v>17.318792432787983</v>
      </c>
      <c r="D32">
        <f t="shared" si="0"/>
        <v>1.2984719659790294</v>
      </c>
      <c r="E32">
        <f t="shared" si="1"/>
        <v>18.617264398767013</v>
      </c>
    </row>
    <row r="33" spans="1:5" x14ac:dyDescent="0.35">
      <c r="A33">
        <v>24</v>
      </c>
      <c r="B33">
        <f t="shared" si="2"/>
        <v>24</v>
      </c>
      <c r="C33">
        <f t="shared" si="3"/>
        <v>18.617264398767013</v>
      </c>
      <c r="D33">
        <f t="shared" si="0"/>
        <v>1.3467846032206332</v>
      </c>
      <c r="E33">
        <f t="shared" si="1"/>
        <v>19.964049001987647</v>
      </c>
    </row>
    <row r="34" spans="1:5" x14ac:dyDescent="0.35">
      <c r="A34">
        <v>25</v>
      </c>
      <c r="B34">
        <f t="shared" si="2"/>
        <v>25</v>
      </c>
      <c r="C34">
        <f t="shared" si="3"/>
        <v>19.964049001987647</v>
      </c>
      <c r="D34">
        <f t="shared" si="0"/>
        <v>1.3943035825686336</v>
      </c>
      <c r="E34">
        <f t="shared" si="1"/>
        <v>21.358352584556279</v>
      </c>
    </row>
    <row r="35" spans="1:5" x14ac:dyDescent="0.35">
      <c r="A35">
        <v>26</v>
      </c>
      <c r="B35">
        <f t="shared" si="2"/>
        <v>26</v>
      </c>
      <c r="C35">
        <f t="shared" si="3"/>
        <v>21.358352584556279</v>
      </c>
      <c r="D35">
        <f t="shared" si="0"/>
        <v>1.440951705642965</v>
      </c>
      <c r="E35">
        <f t="shared" si="1"/>
        <v>22.799304290199245</v>
      </c>
    </row>
    <row r="36" spans="1:5" x14ac:dyDescent="0.35">
      <c r="A36">
        <v>27</v>
      </c>
      <c r="B36">
        <f t="shared" si="2"/>
        <v>27</v>
      </c>
      <c r="C36">
        <f t="shared" si="3"/>
        <v>22.799304290199245</v>
      </c>
      <c r="D36">
        <f t="shared" si="0"/>
        <v>1.4866576898764892</v>
      </c>
      <c r="E36">
        <f t="shared" si="1"/>
        <v>24.285961980075733</v>
      </c>
    </row>
    <row r="37" spans="1:5" x14ac:dyDescent="0.35">
      <c r="A37">
        <v>28</v>
      </c>
      <c r="B37">
        <f t="shared" si="2"/>
        <v>28</v>
      </c>
      <c r="C37">
        <f t="shared" si="3"/>
        <v>24.285961980075733</v>
      </c>
      <c r="D37">
        <f t="shared" si="0"/>
        <v>1.5313560608553947</v>
      </c>
      <c r="E37">
        <f t="shared" si="1"/>
        <v>25.817318040931127</v>
      </c>
    </row>
    <row r="38" spans="1:5" x14ac:dyDescent="0.35">
      <c r="A38">
        <v>29</v>
      </c>
      <c r="B38">
        <f t="shared" si="2"/>
        <v>29</v>
      </c>
      <c r="C38">
        <f t="shared" si="3"/>
        <v>25.817318040931127</v>
      </c>
      <c r="D38">
        <f t="shared" si="0"/>
        <v>1.5749870238294961</v>
      </c>
      <c r="E38">
        <f t="shared" si="1"/>
        <v>27.392305064760624</v>
      </c>
    </row>
    <row r="39" spans="1:5" x14ac:dyDescent="0.35">
      <c r="A39">
        <v>30</v>
      </c>
      <c r="B39">
        <f t="shared" si="2"/>
        <v>30</v>
      </c>
      <c r="C39">
        <f t="shared" si="3"/>
        <v>27.392305064760624</v>
      </c>
      <c r="D39">
        <f t="shared" si="0"/>
        <v>1.6174963176011754</v>
      </c>
      <c r="E39">
        <f t="shared" si="1"/>
        <v>29.0098013823618</v>
      </c>
    </row>
    <row r="40" spans="1:5" x14ac:dyDescent="0.35">
      <c r="A40">
        <v>31</v>
      </c>
      <c r="B40">
        <f t="shared" si="2"/>
        <v>31</v>
      </c>
      <c r="C40">
        <f t="shared" si="3"/>
        <v>29.0098013823618</v>
      </c>
      <c r="D40">
        <f t="shared" si="0"/>
        <v>1.6588350537027159</v>
      </c>
      <c r="E40">
        <f t="shared" si="1"/>
        <v>30.668636436064517</v>
      </c>
    </row>
    <row r="41" spans="1:5" x14ac:dyDescent="0.35">
      <c r="A41">
        <v>32</v>
      </c>
      <c r="B41">
        <f t="shared" si="2"/>
        <v>32</v>
      </c>
      <c r="C41">
        <f t="shared" si="3"/>
        <v>30.668636436064517</v>
      </c>
      <c r="D41">
        <f t="shared" si="0"/>
        <v>1.6989595434932308</v>
      </c>
      <c r="E41">
        <f t="shared" si="1"/>
        <v>32.367595979557748</v>
      </c>
    </row>
    <row r="42" spans="1:5" x14ac:dyDescent="0.35">
      <c r="A42">
        <v>33</v>
      </c>
      <c r="B42">
        <f t="shared" si="2"/>
        <v>33</v>
      </c>
      <c r="C42">
        <f t="shared" si="3"/>
        <v>32.367595979557748</v>
      </c>
      <c r="D42">
        <f t="shared" si="0"/>
        <v>1.7378311155476962</v>
      </c>
      <c r="E42">
        <f t="shared" si="1"/>
        <v>34.105427095105448</v>
      </c>
    </row>
    <row r="43" spans="1:5" x14ac:dyDescent="0.35">
      <c r="A43">
        <v>34</v>
      </c>
      <c r="B43">
        <f t="shared" si="2"/>
        <v>34</v>
      </c>
      <c r="C43">
        <f t="shared" si="3"/>
        <v>34.105427095105448</v>
      </c>
      <c r="D43">
        <f t="shared" si="0"/>
        <v>1.7754159254707829</v>
      </c>
      <c r="E43">
        <f t="shared" si="1"/>
        <v>35.880843020576229</v>
      </c>
    </row>
    <row r="44" spans="1:5" x14ac:dyDescent="0.35">
      <c r="A44">
        <v>35</v>
      </c>
      <c r="B44">
        <f t="shared" si="2"/>
        <v>35</v>
      </c>
      <c r="C44">
        <f t="shared" si="3"/>
        <v>35.880843020576229</v>
      </c>
      <c r="D44">
        <f t="shared" si="0"/>
        <v>1.8116847600465487</v>
      </c>
      <c r="E44">
        <f t="shared" si="1"/>
        <v>37.692527780622775</v>
      </c>
    </row>
    <row r="45" spans="1:5" x14ac:dyDescent="0.35">
      <c r="A45">
        <v>36</v>
      </c>
      <c r="B45">
        <f t="shared" si="2"/>
        <v>36</v>
      </c>
      <c r="C45">
        <f t="shared" si="3"/>
        <v>37.692527780622775</v>
      </c>
      <c r="D45">
        <f t="shared" si="0"/>
        <v>1.846612837430506</v>
      </c>
      <c r="E45">
        <f t="shared" si="1"/>
        <v>39.539140618053281</v>
      </c>
    </row>
    <row r="46" spans="1:5" x14ac:dyDescent="0.35">
      <c r="A46">
        <v>37</v>
      </c>
      <c r="B46">
        <f t="shared" si="2"/>
        <v>37</v>
      </c>
      <c r="C46">
        <f t="shared" si="3"/>
        <v>39.539140618053281</v>
      </c>
      <c r="D46">
        <f t="shared" si="0"/>
        <v>1.8801796049023474</v>
      </c>
      <c r="E46">
        <f t="shared" si="1"/>
        <v>41.419320222955626</v>
      </c>
    </row>
    <row r="47" spans="1:5" x14ac:dyDescent="0.35">
      <c r="A47">
        <v>38</v>
      </c>
      <c r="B47">
        <f t="shared" si="2"/>
        <v>38</v>
      </c>
      <c r="C47">
        <f t="shared" si="3"/>
        <v>41.419320222955626</v>
      </c>
      <c r="D47">
        <f t="shared" si="0"/>
        <v>1.9123685355246354</v>
      </c>
      <c r="E47">
        <f t="shared" si="1"/>
        <v>43.331688758480261</v>
      </c>
    </row>
    <row r="48" spans="1:5" x14ac:dyDescent="0.35">
      <c r="A48">
        <v>39</v>
      </c>
      <c r="B48">
        <f t="shared" si="2"/>
        <v>39</v>
      </c>
      <c r="C48">
        <f t="shared" si="3"/>
        <v>43.331688758480261</v>
      </c>
      <c r="D48">
        <f t="shared" si="0"/>
        <v>1.943166924894191</v>
      </c>
      <c r="E48">
        <f t="shared" si="1"/>
        <v>45.274855683374454</v>
      </c>
    </row>
    <row r="49" spans="1:5" x14ac:dyDescent="0.35">
      <c r="A49">
        <v>40</v>
      </c>
      <c r="B49">
        <f t="shared" si="2"/>
        <v>40</v>
      </c>
      <c r="C49">
        <f t="shared" si="3"/>
        <v>45.274855683374454</v>
      </c>
      <c r="D49">
        <f t="shared" si="0"/>
        <v>1.9725656890277818</v>
      </c>
      <c r="E49">
        <f t="shared" si="1"/>
        <v>47.247421372402236</v>
      </c>
    </row>
    <row r="50" spans="1:5" x14ac:dyDescent="0.35">
      <c r="A50">
        <v>41</v>
      </c>
      <c r="B50">
        <f t="shared" si="2"/>
        <v>41</v>
      </c>
      <c r="C50">
        <f t="shared" si="3"/>
        <v>47.247421372402236</v>
      </c>
      <c r="D50">
        <f t="shared" si="0"/>
        <v>2.0005591642912011</v>
      </c>
      <c r="E50">
        <f t="shared" si="1"/>
        <v>49.24798053669344</v>
      </c>
    </row>
    <row r="51" spans="1:5" x14ac:dyDescent="0.35">
      <c r="A51">
        <v>42</v>
      </c>
      <c r="B51">
        <f t="shared" si="2"/>
        <v>42</v>
      </c>
      <c r="C51">
        <f t="shared" si="3"/>
        <v>49.24798053669344</v>
      </c>
      <c r="D51">
        <f t="shared" si="0"/>
        <v>2.0271449101599948</v>
      </c>
      <c r="E51">
        <f t="shared" si="1"/>
        <v>51.275125446853437</v>
      </c>
    </row>
    <row r="52" spans="1:5" x14ac:dyDescent="0.35">
      <c r="A52">
        <v>43</v>
      </c>
      <c r="B52">
        <f t="shared" si="2"/>
        <v>43</v>
      </c>
      <c r="C52">
        <f t="shared" si="3"/>
        <v>51.275125446853437</v>
      </c>
      <c r="D52">
        <f t="shared" si="0"/>
        <v>2.0523235154902548</v>
      </c>
      <c r="E52">
        <f t="shared" si="1"/>
        <v>53.327448962343695</v>
      </c>
    </row>
    <row r="53" spans="1:5" x14ac:dyDescent="0.35">
      <c r="A53">
        <v>44</v>
      </c>
      <c r="B53">
        <f t="shared" si="2"/>
        <v>44</v>
      </c>
      <c r="C53">
        <f t="shared" si="3"/>
        <v>53.327448962343695</v>
      </c>
      <c r="D53">
        <f t="shared" si="0"/>
        <v>2.076098408878106</v>
      </c>
      <c r="E53">
        <f t="shared" si="1"/>
        <v>55.403547371221798</v>
      </c>
    </row>
    <row r="54" spans="1:5" x14ac:dyDescent="0.35">
      <c r="A54">
        <v>45</v>
      </c>
      <c r="B54">
        <f t="shared" si="2"/>
        <v>45</v>
      </c>
      <c r="C54">
        <f t="shared" si="3"/>
        <v>55.403547371221798</v>
      </c>
      <c r="D54">
        <f t="shared" si="0"/>
        <v>2.0984756735961851</v>
      </c>
      <c r="E54">
        <f t="shared" si="1"/>
        <v>57.502023044817982</v>
      </c>
    </row>
    <row r="55" spans="1:5" x14ac:dyDescent="0.35">
      <c r="A55">
        <v>46</v>
      </c>
      <c r="B55">
        <f t="shared" si="2"/>
        <v>46</v>
      </c>
      <c r="C55">
        <f t="shared" si="3"/>
        <v>57.502023044817982</v>
      </c>
      <c r="D55">
        <f t="shared" si="0"/>
        <v>2.1194638675137605</v>
      </c>
      <c r="E55">
        <f t="shared" si="1"/>
        <v>59.62148691233174</v>
      </c>
    </row>
    <row r="56" spans="1:5" x14ac:dyDescent="0.35">
      <c r="A56">
        <v>47</v>
      </c>
      <c r="B56">
        <f t="shared" si="2"/>
        <v>47</v>
      </c>
      <c r="C56">
        <f t="shared" si="3"/>
        <v>59.62148691233174</v>
      </c>
      <c r="D56">
        <f t="shared" si="0"/>
        <v>2.1390738483334761</v>
      </c>
      <c r="E56">
        <f t="shared" si="1"/>
        <v>61.760560760665214</v>
      </c>
    </row>
    <row r="57" spans="1:5" x14ac:dyDescent="0.35">
      <c r="A57">
        <v>48</v>
      </c>
      <c r="B57">
        <f t="shared" si="2"/>
        <v>48</v>
      </c>
      <c r="C57">
        <f t="shared" si="3"/>
        <v>61.760560760665214</v>
      </c>
      <c r="D57">
        <f t="shared" si="0"/>
        <v>2.157318604411524</v>
      </c>
      <c r="E57">
        <f t="shared" si="1"/>
        <v>63.917879365076736</v>
      </c>
    </row>
    <row r="58" spans="1:5" x14ac:dyDescent="0.35">
      <c r="A58">
        <v>49</v>
      </c>
      <c r="B58">
        <f t="shared" si="2"/>
        <v>49</v>
      </c>
      <c r="C58">
        <f t="shared" si="3"/>
        <v>63.917879365076736</v>
      </c>
      <c r="D58">
        <f t="shared" si="0"/>
        <v>2.1742130913686362</v>
      </c>
      <c r="E58">
        <f t="shared" si="1"/>
        <v>66.092092456445371</v>
      </c>
    </row>
    <row r="59" spans="1:5" x14ac:dyDescent="0.35">
      <c r="A59">
        <v>50</v>
      </c>
      <c r="B59">
        <f t="shared" si="2"/>
        <v>50</v>
      </c>
      <c r="C59">
        <f t="shared" si="3"/>
        <v>66.092092456445371</v>
      </c>
      <c r="D59">
        <f t="shared" si="0"/>
        <v>2.1897740746461047</v>
      </c>
      <c r="E59">
        <f t="shared" si="1"/>
        <v>68.281866531091481</v>
      </c>
    </row>
    <row r="60" spans="1:5" x14ac:dyDescent="0.35">
      <c r="A60">
        <v>51</v>
      </c>
      <c r="B60">
        <f t="shared" si="2"/>
        <v>51</v>
      </c>
      <c r="C60">
        <f t="shared" si="3"/>
        <v>68.281866531091481</v>
      </c>
      <c r="D60">
        <f t="shared" si="0"/>
        <v>2.2040199781137786</v>
      </c>
      <c r="E60">
        <f t="shared" si="1"/>
        <v>70.485886509205258</v>
      </c>
    </row>
    <row r="61" spans="1:5" x14ac:dyDescent="0.35">
      <c r="A61">
        <v>52</v>
      </c>
      <c r="B61">
        <f t="shared" si="2"/>
        <v>52</v>
      </c>
      <c r="C61">
        <f t="shared" si="3"/>
        <v>70.485886509205258</v>
      </c>
      <c r="D61">
        <f t="shared" si="0"/>
        <v>2.2169707387947484</v>
      </c>
      <c r="E61">
        <f t="shared" si="1"/>
        <v>72.702857248000001</v>
      </c>
    </row>
    <row r="62" spans="1:5" x14ac:dyDescent="0.35">
      <c r="A62">
        <v>53</v>
      </c>
      <c r="B62">
        <f t="shared" si="2"/>
        <v>53</v>
      </c>
      <c r="C62">
        <f t="shared" si="3"/>
        <v>72.702857248000001</v>
      </c>
      <c r="D62">
        <f t="shared" si="0"/>
        <v>2.2286476677342786</v>
      </c>
      <c r="E62">
        <f t="shared" si="1"/>
        <v>74.93150491573428</v>
      </c>
    </row>
    <row r="63" spans="1:5" x14ac:dyDescent="0.35">
      <c r="A63">
        <v>54</v>
      </c>
      <c r="B63">
        <f t="shared" si="2"/>
        <v>54</v>
      </c>
      <c r="C63">
        <f t="shared" si="3"/>
        <v>74.93150491573428</v>
      </c>
      <c r="D63">
        <f t="shared" si="0"/>
        <v>2.2390733170076138</v>
      </c>
      <c r="E63">
        <f t="shared" si="1"/>
        <v>77.170578232741889</v>
      </c>
    </row>
    <row r="64" spans="1:5" x14ac:dyDescent="0.35">
      <c r="A64">
        <v>55</v>
      </c>
      <c r="B64">
        <f t="shared" si="2"/>
        <v>55</v>
      </c>
      <c r="C64">
        <f t="shared" si="3"/>
        <v>77.170578232741889</v>
      </c>
      <c r="D64">
        <f t="shared" si="0"/>
        <v>2.2482713528325302</v>
      </c>
      <c r="E64">
        <f t="shared" si="1"/>
        <v>79.418849585574421</v>
      </c>
    </row>
    <row r="65" spans="1:5" x14ac:dyDescent="0.35">
      <c r="A65">
        <v>56</v>
      </c>
      <c r="B65">
        <f t="shared" si="2"/>
        <v>56</v>
      </c>
      <c r="C65">
        <f t="shared" si="3"/>
        <v>79.418849585574421</v>
      </c>
      <c r="D65">
        <f t="shared" si="0"/>
        <v>2.2562664347272583</v>
      </c>
      <c r="E65">
        <f t="shared" si="1"/>
        <v>81.675116020301672</v>
      </c>
    </row>
    <row r="66" spans="1:5" x14ac:dyDescent="0.35">
      <c r="A66">
        <v>57</v>
      </c>
      <c r="B66">
        <f t="shared" si="2"/>
        <v>57</v>
      </c>
      <c r="C66">
        <f t="shared" si="3"/>
        <v>81.675116020301672</v>
      </c>
      <c r="D66">
        <f t="shared" si="0"/>
        <v>2.2630841006326907</v>
      </c>
      <c r="E66">
        <f t="shared" si="1"/>
        <v>83.938200120934368</v>
      </c>
    </row>
    <row r="67" spans="1:5" x14ac:dyDescent="0.35">
      <c r="A67">
        <v>58</v>
      </c>
      <c r="B67">
        <f t="shared" si="2"/>
        <v>58</v>
      </c>
      <c r="C67">
        <f t="shared" si="3"/>
        <v>83.938200120934368</v>
      </c>
      <c r="D67">
        <f t="shared" si="0"/>
        <v>2.2687506578988867</v>
      </c>
      <c r="E67">
        <f t="shared" si="1"/>
        <v>86.20695077883326</v>
      </c>
    </row>
    <row r="68" spans="1:5" x14ac:dyDescent="0.35">
      <c r="A68">
        <v>59</v>
      </c>
      <c r="B68">
        <f t="shared" si="2"/>
        <v>59</v>
      </c>
      <c r="C68">
        <f t="shared" si="3"/>
        <v>86.20695077883326</v>
      </c>
      <c r="D68">
        <f t="shared" si="0"/>
        <v>2.2732930800199447</v>
      </c>
      <c r="E68">
        <f t="shared" si="1"/>
        <v>88.4802438588532</v>
      </c>
    </row>
    <row r="69" spans="1:5" x14ac:dyDescent="0.35">
      <c r="A69">
        <v>60</v>
      </c>
      <c r="B69">
        <f t="shared" si="2"/>
        <v>60</v>
      </c>
      <c r="C69">
        <f t="shared" si="3"/>
        <v>88.4802438588532</v>
      </c>
      <c r="D69">
        <f t="shared" si="0"/>
        <v>2.2767389089876646</v>
      </c>
      <c r="E69">
        <f t="shared" si="1"/>
        <v>90.756982767840867</v>
      </c>
    </row>
    <row r="70" spans="1:5" x14ac:dyDescent="0.35">
      <c r="A70">
        <v>61</v>
      </c>
      <c r="B70">
        <f t="shared" si="2"/>
        <v>61</v>
      </c>
      <c r="C70">
        <f t="shared" si="3"/>
        <v>90.756982767840867</v>
      </c>
      <c r="D70">
        <f t="shared" si="0"/>
        <v>2.2791161631232106</v>
      </c>
      <c r="E70">
        <f t="shared" si="1"/>
        <v>93.036098930964073</v>
      </c>
    </row>
    <row r="71" spans="1:5" x14ac:dyDescent="0.35">
      <c r="A71">
        <v>62</v>
      </c>
      <c r="B71">
        <f t="shared" si="2"/>
        <v>62</v>
      </c>
      <c r="C71">
        <f t="shared" si="3"/>
        <v>93.036098930964073</v>
      </c>
      <c r="D71">
        <f t="shared" si="0"/>
        <v>2.2804532502365502</v>
      </c>
      <c r="E71">
        <f t="shared" si="1"/>
        <v>95.31655218120062</v>
      </c>
    </row>
    <row r="72" spans="1:5" x14ac:dyDescent="0.35">
      <c r="A72">
        <v>63</v>
      </c>
      <c r="B72">
        <f t="shared" si="2"/>
        <v>63</v>
      </c>
      <c r="C72">
        <f t="shared" si="3"/>
        <v>95.31655218120062</v>
      </c>
      <c r="D72">
        <f t="shared" si="0"/>
        <v>2.2807788859561153</v>
      </c>
      <c r="E72">
        <f t="shared" si="1"/>
        <v>97.59733106715673</v>
      </c>
    </row>
    <row r="73" spans="1:5" x14ac:dyDescent="0.35">
      <c r="A73">
        <v>64</v>
      </c>
      <c r="B73">
        <f t="shared" si="2"/>
        <v>64</v>
      </c>
      <c r="C73">
        <f t="shared" si="3"/>
        <v>97.59733106715673</v>
      </c>
      <c r="D73">
        <f t="shared" ref="D73:D136" si="4">$B$2 * POWER(C73,3/4) * (1 - POWER(C73/$B$4,1/4))</f>
        <v>2.280122017065191</v>
      </c>
      <c r="E73">
        <f t="shared" ref="E73:E136" si="5">C73 + $B$3 * D73</f>
        <v>99.877453084221926</v>
      </c>
    </row>
    <row r="74" spans="1:5" x14ac:dyDescent="0.35">
      <c r="A74">
        <v>65</v>
      </c>
      <c r="B74">
        <f t="shared" ref="B74:B137" si="6">B73 + $B$3</f>
        <v>65</v>
      </c>
      <c r="C74">
        <f t="shared" ref="C74:C137" si="7">E73</f>
        <v>99.877453084221926</v>
      </c>
      <c r="D74">
        <f t="shared" si="4"/>
        <v>2.2785117496771341</v>
      </c>
      <c r="E74">
        <f t="shared" si="5"/>
        <v>102.15596483389906</v>
      </c>
    </row>
    <row r="75" spans="1:5" x14ac:dyDescent="0.35">
      <c r="A75">
        <v>66</v>
      </c>
      <c r="B75">
        <f t="shared" si="6"/>
        <v>66</v>
      </c>
      <c r="C75">
        <f t="shared" si="7"/>
        <v>102.15596483389906</v>
      </c>
      <c r="D75">
        <f t="shared" si="4"/>
        <v>2.2759772820785296</v>
      </c>
      <c r="E75">
        <f t="shared" si="5"/>
        <v>104.43194211597759</v>
      </c>
    </row>
    <row r="76" spans="1:5" x14ac:dyDescent="0.35">
      <c r="A76">
        <v>67</v>
      </c>
      <c r="B76">
        <f t="shared" si="6"/>
        <v>67</v>
      </c>
      <c r="C76">
        <f t="shared" si="7"/>
        <v>104.43194211597759</v>
      </c>
      <c r="D76">
        <f t="shared" si="4"/>
        <v>2.2725478420673251</v>
      </c>
      <c r="E76">
        <f t="shared" si="5"/>
        <v>106.70448995804492</v>
      </c>
    </row>
    <row r="77" spans="1:5" x14ac:dyDescent="0.35">
      <c r="A77">
        <v>68</v>
      </c>
      <c r="B77">
        <f t="shared" si="6"/>
        <v>68</v>
      </c>
      <c r="C77">
        <f t="shared" si="7"/>
        <v>106.70448995804492</v>
      </c>
      <c r="D77">
        <f t="shared" si="4"/>
        <v>2.2682526286121623</v>
      </c>
      <c r="E77">
        <f t="shared" si="5"/>
        <v>108.97274258665708</v>
      </c>
    </row>
    <row r="78" spans="1:5" x14ac:dyDescent="0.35">
      <c r="A78">
        <v>69</v>
      </c>
      <c r="B78">
        <f t="shared" si="6"/>
        <v>69</v>
      </c>
      <c r="C78">
        <f t="shared" si="7"/>
        <v>108.97274258665708</v>
      </c>
      <c r="D78">
        <f t="shared" si="4"/>
        <v>2.2631207576590788</v>
      </c>
      <c r="E78">
        <f t="shared" si="5"/>
        <v>111.23586334431616</v>
      </c>
    </row>
    <row r="79" spans="1:5" x14ac:dyDescent="0.35">
      <c r="A79">
        <v>70</v>
      </c>
      <c r="B79">
        <f t="shared" si="6"/>
        <v>70</v>
      </c>
      <c r="C79">
        <f t="shared" si="7"/>
        <v>111.23586334431616</v>
      </c>
      <c r="D79">
        <f t="shared" si="4"/>
        <v>2.2571812119125316</v>
      </c>
      <c r="E79">
        <f t="shared" si="5"/>
        <v>113.4930445562287</v>
      </c>
    </row>
    <row r="80" spans="1:5" x14ac:dyDescent="0.35">
      <c r="A80">
        <v>71</v>
      </c>
      <c r="B80">
        <f t="shared" si="6"/>
        <v>71</v>
      </c>
      <c r="C80">
        <f t="shared" si="7"/>
        <v>113.4930445562287</v>
      </c>
      <c r="D80">
        <f t="shared" si="4"/>
        <v>2.2504627944191609</v>
      </c>
      <c r="E80">
        <f t="shared" si="5"/>
        <v>115.74350735064786</v>
      </c>
    </row>
    <row r="81" spans="1:5" x14ac:dyDescent="0.35">
      <c r="A81">
        <v>72</v>
      </c>
      <c r="B81">
        <f t="shared" si="6"/>
        <v>72</v>
      </c>
      <c r="C81">
        <f t="shared" si="7"/>
        <v>115.74350735064786</v>
      </c>
      <c r="D81">
        <f t="shared" si="4"/>
        <v>2.2429940857848036</v>
      </c>
      <c r="E81">
        <f t="shared" si="5"/>
        <v>117.98650143643266</v>
      </c>
    </row>
    <row r="82" spans="1:5" x14ac:dyDescent="0.35">
      <c r="A82">
        <v>73</v>
      </c>
      <c r="B82">
        <f t="shared" si="6"/>
        <v>73</v>
      </c>
      <c r="C82">
        <f t="shared" si="7"/>
        <v>117.98650143643266</v>
      </c>
      <c r="D82">
        <f t="shared" si="4"/>
        <v>2.234803404857864</v>
      </c>
      <c r="E82">
        <f t="shared" si="5"/>
        <v>120.22130484129053</v>
      </c>
    </row>
    <row r="83" spans="1:5" x14ac:dyDescent="0.35">
      <c r="A83">
        <v>74</v>
      </c>
      <c r="B83">
        <f t="shared" si="6"/>
        <v>74</v>
      </c>
      <c r="C83">
        <f t="shared" si="7"/>
        <v>120.22130484129053</v>
      </c>
      <c r="D83">
        <f t="shared" si="4"/>
        <v>2.2259187727151555</v>
      </c>
      <c r="E83">
        <f t="shared" si="5"/>
        <v>122.44722361400569</v>
      </c>
    </row>
    <row r="84" spans="1:5" x14ac:dyDescent="0.35">
      <c r="A84">
        <v>75</v>
      </c>
      <c r="B84">
        <f t="shared" si="6"/>
        <v>75</v>
      </c>
      <c r="C84">
        <f t="shared" si="7"/>
        <v>122.44722361400569</v>
      </c>
      <c r="D84">
        <f t="shared" si="4"/>
        <v>2.2163678797898041</v>
      </c>
      <c r="E84">
        <f t="shared" si="5"/>
        <v>124.66359149379549</v>
      </c>
    </row>
    <row r="85" spans="1:5" x14ac:dyDescent="0.35">
      <c r="A85">
        <v>76</v>
      </c>
      <c r="B85">
        <f t="shared" si="6"/>
        <v>76</v>
      </c>
      <c r="C85">
        <f t="shared" si="7"/>
        <v>124.66359149379549</v>
      </c>
      <c r="D85">
        <f t="shared" si="4"/>
        <v>2.2061780559844633</v>
      </c>
      <c r="E85">
        <f t="shared" si="5"/>
        <v>126.86976954977996</v>
      </c>
    </row>
    <row r="86" spans="1:5" x14ac:dyDescent="0.35">
      <c r="A86">
        <v>77</v>
      </c>
      <c r="B86">
        <f t="shared" si="6"/>
        <v>77</v>
      </c>
      <c r="C86">
        <f t="shared" si="7"/>
        <v>126.86976954977996</v>
      </c>
      <c r="D86">
        <f t="shared" si="4"/>
        <v>2.1953762436171842</v>
      </c>
      <c r="E86">
        <f t="shared" si="5"/>
        <v>129.06514579339714</v>
      </c>
    </row>
    <row r="87" spans="1:5" x14ac:dyDescent="0.35">
      <c r="A87">
        <v>78</v>
      </c>
      <c r="B87">
        <f t="shared" si="6"/>
        <v>78</v>
      </c>
      <c r="C87">
        <f t="shared" si="7"/>
        <v>129.06514579339714</v>
      </c>
      <c r="D87">
        <f t="shared" si="4"/>
        <v>2.1839889730513851</v>
      </c>
      <c r="E87">
        <f t="shared" si="5"/>
        <v>131.24913476644852</v>
      </c>
    </row>
    <row r="88" spans="1:5" x14ac:dyDescent="0.35">
      <c r="A88">
        <v>79</v>
      </c>
      <c r="B88">
        <f t="shared" si="6"/>
        <v>79</v>
      </c>
      <c r="C88">
        <f t="shared" si="7"/>
        <v>131.24913476644852</v>
      </c>
      <c r="D88">
        <f t="shared" si="4"/>
        <v>2.1720423408658478</v>
      </c>
      <c r="E88">
        <f t="shared" si="5"/>
        <v>133.42117710731438</v>
      </c>
    </row>
    <row r="89" spans="1:5" x14ac:dyDescent="0.35">
      <c r="A89">
        <v>80</v>
      </c>
      <c r="B89">
        <f t="shared" si="6"/>
        <v>80</v>
      </c>
      <c r="C89">
        <f t="shared" si="7"/>
        <v>133.42117710731438</v>
      </c>
      <c r="D89">
        <f t="shared" si="4"/>
        <v>2.1595619904250936</v>
      </c>
      <c r="E89">
        <f t="shared" si="5"/>
        <v>135.58073909773947</v>
      </c>
    </row>
    <row r="90" spans="1:5" x14ac:dyDescent="0.35">
      <c r="A90">
        <v>81</v>
      </c>
      <c r="B90">
        <f t="shared" si="6"/>
        <v>81</v>
      </c>
      <c r="C90">
        <f t="shared" si="7"/>
        <v>135.58073909773947</v>
      </c>
      <c r="D90">
        <f t="shared" si="4"/>
        <v>2.1465730947151589</v>
      </c>
      <c r="E90">
        <f t="shared" si="5"/>
        <v>137.72731219245463</v>
      </c>
    </row>
    <row r="91" spans="1:5" x14ac:dyDescent="0.35">
      <c r="A91">
        <v>82</v>
      </c>
      <c r="B91">
        <f t="shared" si="6"/>
        <v>82</v>
      </c>
      <c r="C91">
        <f t="shared" si="7"/>
        <v>137.72731219245463</v>
      </c>
      <c r="D91">
        <f t="shared" si="4"/>
        <v>2.1331003413143867</v>
      </c>
      <c r="E91">
        <f t="shared" si="5"/>
        <v>139.86041253376902</v>
      </c>
    </row>
    <row r="92" spans="1:5" x14ac:dyDescent="0.35">
      <c r="A92">
        <v>83</v>
      </c>
      <c r="B92">
        <f t="shared" si="6"/>
        <v>83</v>
      </c>
      <c r="C92">
        <f t="shared" si="7"/>
        <v>139.86041253376902</v>
      </c>
      <c r="D92">
        <f t="shared" si="4"/>
        <v>2.1191679193736266</v>
      </c>
      <c r="E92">
        <f t="shared" si="5"/>
        <v>141.97958045314266</v>
      </c>
    </row>
    <row r="93" spans="1:5" x14ac:dyDescent="0.35">
      <c r="A93">
        <v>84</v>
      </c>
      <c r="B93">
        <f t="shared" si="6"/>
        <v>84</v>
      </c>
      <c r="C93">
        <f t="shared" si="7"/>
        <v>141.97958045314266</v>
      </c>
      <c r="D93">
        <f t="shared" si="4"/>
        <v>2.1047995084848425</v>
      </c>
      <c r="E93">
        <f t="shared" si="5"/>
        <v>144.08437996162749</v>
      </c>
    </row>
    <row r="94" spans="1:5" x14ac:dyDescent="0.35">
      <c r="A94">
        <v>85</v>
      </c>
      <c r="B94">
        <f t="shared" si="6"/>
        <v>85</v>
      </c>
      <c r="C94">
        <f t="shared" si="7"/>
        <v>144.08437996162749</v>
      </c>
      <c r="D94">
        <f t="shared" si="4"/>
        <v>2.0900182693219431</v>
      </c>
      <c r="E94">
        <f t="shared" si="5"/>
        <v>146.17439823094944</v>
      </c>
    </row>
    <row r="95" spans="1:5" x14ac:dyDescent="0.35">
      <c r="A95">
        <v>86</v>
      </c>
      <c r="B95">
        <f t="shared" si="6"/>
        <v>86</v>
      </c>
      <c r="C95">
        <f t="shared" si="7"/>
        <v>146.17439823094944</v>
      </c>
      <c r="D95">
        <f t="shared" si="4"/>
        <v>2.0748468359421897</v>
      </c>
      <c r="E95">
        <f t="shared" si="5"/>
        <v>148.24924506689163</v>
      </c>
    </row>
    <row r="96" spans="1:5" x14ac:dyDescent="0.35">
      <c r="A96">
        <v>87</v>
      </c>
      <c r="B96">
        <f t="shared" si="6"/>
        <v>87</v>
      </c>
      <c r="C96">
        <f t="shared" si="7"/>
        <v>148.24924506689163</v>
      </c>
      <c r="D96">
        <f t="shared" si="4"/>
        <v>2.0593073096412429</v>
      </c>
      <c r="E96">
        <f t="shared" si="5"/>
        <v>150.30855237653287</v>
      </c>
    </row>
    <row r="97" spans="1:5" x14ac:dyDescent="0.35">
      <c r="A97">
        <v>88</v>
      </c>
      <c r="B97">
        <f t="shared" si="6"/>
        <v>88</v>
      </c>
      <c r="C97">
        <f t="shared" si="7"/>
        <v>150.30855237653287</v>
      </c>
      <c r="D97">
        <f t="shared" si="4"/>
        <v>2.0434212542594197</v>
      </c>
      <c r="E97">
        <f t="shared" si="5"/>
        <v>152.35197363079229</v>
      </c>
    </row>
    <row r="98" spans="1:5" x14ac:dyDescent="0.35">
      <c r="A98">
        <v>89</v>
      </c>
      <c r="B98">
        <f t="shared" si="6"/>
        <v>89</v>
      </c>
      <c r="C98">
        <f t="shared" si="7"/>
        <v>152.35197363079229</v>
      </c>
      <c r="D98">
        <f t="shared" si="4"/>
        <v>2.0272096928411987</v>
      </c>
      <c r="E98">
        <f t="shared" si="5"/>
        <v>154.3791833236335</v>
      </c>
    </row>
    <row r="99" spans="1:5" x14ac:dyDescent="0.35">
      <c r="A99">
        <v>90</v>
      </c>
      <c r="B99">
        <f t="shared" si="6"/>
        <v>90</v>
      </c>
      <c r="C99">
        <f t="shared" si="7"/>
        <v>154.3791833236335</v>
      </c>
      <c r="D99">
        <f t="shared" si="4"/>
        <v>2.0106931055544512</v>
      </c>
      <c r="E99">
        <f t="shared" si="5"/>
        <v>156.38987642918795</v>
      </c>
    </row>
    <row r="100" spans="1:5" x14ac:dyDescent="0.35">
      <c r="A100">
        <v>91</v>
      </c>
      <c r="B100">
        <f t="shared" si="6"/>
        <v>91</v>
      </c>
      <c r="C100">
        <f t="shared" si="7"/>
        <v>156.38987642918795</v>
      </c>
      <c r="D100">
        <f t="shared" si="4"/>
        <v>1.9938914287801306</v>
      </c>
      <c r="E100">
        <f t="shared" si="5"/>
        <v>158.38376785796808</v>
      </c>
    </row>
    <row r="101" spans="1:5" x14ac:dyDescent="0.35">
      <c r="A101">
        <v>92</v>
      </c>
      <c r="B101">
        <f t="shared" si="6"/>
        <v>92</v>
      </c>
      <c r="C101">
        <f t="shared" si="7"/>
        <v>158.38376785796808</v>
      </c>
      <c r="D101">
        <f t="shared" si="4"/>
        <v>1.9768240552873346</v>
      </c>
      <c r="E101">
        <f t="shared" si="5"/>
        <v>160.3605919132554</v>
      </c>
    </row>
    <row r="102" spans="1:5" x14ac:dyDescent="0.35">
      <c r="A102">
        <v>93</v>
      </c>
      <c r="B102">
        <f t="shared" si="6"/>
        <v>93</v>
      </c>
      <c r="C102">
        <f t="shared" si="7"/>
        <v>160.3605919132554</v>
      </c>
      <c r="D102">
        <f t="shared" si="4"/>
        <v>1.9595098354128362</v>
      </c>
      <c r="E102">
        <f t="shared" si="5"/>
        <v>162.32010174866824</v>
      </c>
    </row>
    <row r="103" spans="1:5" x14ac:dyDescent="0.35">
      <c r="A103">
        <v>94</v>
      </c>
      <c r="B103">
        <f t="shared" si="6"/>
        <v>94</v>
      </c>
      <c r="C103">
        <f t="shared" si="7"/>
        <v>162.32010174866824</v>
      </c>
      <c r="D103">
        <f t="shared" si="4"/>
        <v>1.9419670791680026</v>
      </c>
      <c r="E103">
        <f t="shared" si="5"/>
        <v>164.26206882783623</v>
      </c>
    </row>
    <row r="104" spans="1:5" x14ac:dyDescent="0.35">
      <c r="A104">
        <v>95</v>
      </c>
      <c r="B104">
        <f t="shared" si="6"/>
        <v>95</v>
      </c>
      <c r="C104">
        <f t="shared" si="7"/>
        <v>164.26206882783623</v>
      </c>
      <c r="D104">
        <f t="shared" si="4"/>
        <v>1.9242135592000447</v>
      </c>
      <c r="E104">
        <f t="shared" si="5"/>
        <v>166.18628238703627</v>
      </c>
    </row>
    <row r="105" spans="1:5" x14ac:dyDescent="0.35">
      <c r="A105">
        <v>96</v>
      </c>
      <c r="B105">
        <f t="shared" si="6"/>
        <v>96</v>
      </c>
      <c r="C105">
        <f t="shared" si="7"/>
        <v>166.18628238703627</v>
      </c>
      <c r="D105">
        <f t="shared" si="4"/>
        <v>1.9062665145381521</v>
      </c>
      <c r="E105">
        <f t="shared" si="5"/>
        <v>168.09254890157442</v>
      </c>
    </row>
    <row r="106" spans="1:5" x14ac:dyDescent="0.35">
      <c r="A106">
        <v>97</v>
      </c>
      <c r="B106">
        <f t="shared" si="6"/>
        <v>97</v>
      </c>
      <c r="C106">
        <f t="shared" si="7"/>
        <v>168.09254890157442</v>
      </c>
      <c r="D106">
        <f t="shared" si="4"/>
        <v>1.8881426550587341</v>
      </c>
      <c r="E106">
        <f t="shared" si="5"/>
        <v>169.98069155663316</v>
      </c>
    </row>
    <row r="107" spans="1:5" x14ac:dyDescent="0.35">
      <c r="A107">
        <v>98</v>
      </c>
      <c r="B107">
        <f t="shared" si="6"/>
        <v>98</v>
      </c>
      <c r="C107">
        <f t="shared" si="7"/>
        <v>169.98069155663316</v>
      </c>
      <c r="D107">
        <f t="shared" si="4"/>
        <v>1.8698581666075209</v>
      </c>
      <c r="E107">
        <f t="shared" si="5"/>
        <v>171.85054972324068</v>
      </c>
    </row>
    <row r="108" spans="1:5" x14ac:dyDescent="0.35">
      <c r="A108">
        <v>99</v>
      </c>
      <c r="B108">
        <f t="shared" si="6"/>
        <v>99</v>
      </c>
      <c r="C108">
        <f t="shared" si="7"/>
        <v>171.85054972324068</v>
      </c>
      <c r="D108">
        <f t="shared" si="4"/>
        <v>1.851428716719582</v>
      </c>
      <c r="E108">
        <f t="shared" si="5"/>
        <v>173.70197843996027</v>
      </c>
    </row>
    <row r="109" spans="1:5" x14ac:dyDescent="0.35">
      <c r="A109">
        <v>100</v>
      </c>
      <c r="B109">
        <f t="shared" si="6"/>
        <v>100</v>
      </c>
      <c r="C109">
        <f t="shared" si="7"/>
        <v>173.70197843996027</v>
      </c>
      <c r="D109">
        <f t="shared" si="4"/>
        <v>1.8328694608815848</v>
      </c>
      <c r="E109">
        <f t="shared" si="5"/>
        <v>175.53484790084187</v>
      </c>
    </row>
    <row r="110" spans="1:5" x14ac:dyDescent="0.35">
      <c r="A110">
        <v>101</v>
      </c>
      <c r="B110">
        <f t="shared" si="6"/>
        <v>101</v>
      </c>
      <c r="C110">
        <f t="shared" si="7"/>
        <v>175.53484790084187</v>
      </c>
      <c r="D110">
        <f t="shared" si="4"/>
        <v>1.8141950492838117</v>
      </c>
      <c r="E110">
        <f t="shared" si="5"/>
        <v>177.34904295012569</v>
      </c>
    </row>
    <row r="111" spans="1:5" x14ac:dyDescent="0.35">
      <c r="A111">
        <v>102</v>
      </c>
      <c r="B111">
        <f t="shared" si="6"/>
        <v>102</v>
      </c>
      <c r="C111">
        <f t="shared" si="7"/>
        <v>177.34904295012569</v>
      </c>
      <c r="D111">
        <f t="shared" si="4"/>
        <v>1.7954196340123298</v>
      </c>
      <c r="E111">
        <f t="shared" si="5"/>
        <v>179.14446258413801</v>
      </c>
    </row>
    <row r="112" spans="1:5" x14ac:dyDescent="0.35">
      <c r="A112">
        <v>103</v>
      </c>
      <c r="B112">
        <f t="shared" si="6"/>
        <v>103</v>
      </c>
      <c r="C112">
        <f t="shared" si="7"/>
        <v>179.14446258413801</v>
      </c>
      <c r="D112">
        <f t="shared" si="4"/>
        <v>1.7765568766347464</v>
      </c>
      <c r="E112">
        <f t="shared" si="5"/>
        <v>180.92101946077275</v>
      </c>
    </row>
    <row r="113" spans="1:5" x14ac:dyDescent="0.35">
      <c r="A113">
        <v>104</v>
      </c>
      <c r="B113">
        <f t="shared" si="6"/>
        <v>104</v>
      </c>
      <c r="C113">
        <f t="shared" si="7"/>
        <v>180.92101946077275</v>
      </c>
      <c r="D113">
        <f t="shared" si="4"/>
        <v>1.757619956135573</v>
      </c>
      <c r="E113">
        <f t="shared" si="5"/>
        <v>182.67863941690834</v>
      </c>
    </row>
    <row r="114" spans="1:5" x14ac:dyDescent="0.35">
      <c r="A114">
        <v>105</v>
      </c>
      <c r="B114">
        <f t="shared" si="6"/>
        <v>105</v>
      </c>
      <c r="C114">
        <f t="shared" si="7"/>
        <v>182.67863941690834</v>
      </c>
      <c r="D114">
        <f t="shared" si="4"/>
        <v>1.7386215771600555</v>
      </c>
      <c r="E114">
        <f t="shared" si="5"/>
        <v>184.41726099406839</v>
      </c>
    </row>
    <row r="115" spans="1:5" x14ac:dyDescent="0.35">
      <c r="A115">
        <v>106</v>
      </c>
      <c r="B115">
        <f t="shared" si="6"/>
        <v>106</v>
      </c>
      <c r="C115">
        <f t="shared" si="7"/>
        <v>184.41726099406839</v>
      </c>
      <c r="D115">
        <f t="shared" si="4"/>
        <v>1.7195739785277153</v>
      </c>
      <c r="E115">
        <f t="shared" si="5"/>
        <v>186.13683497259609</v>
      </c>
    </row>
    <row r="116" spans="1:5" x14ac:dyDescent="0.35">
      <c r="A116">
        <v>107</v>
      </c>
      <c r="B116">
        <f t="shared" si="6"/>
        <v>107</v>
      </c>
      <c r="C116">
        <f t="shared" si="7"/>
        <v>186.13683497259609</v>
      </c>
      <c r="D116">
        <f t="shared" si="4"/>
        <v>1.7004889419793197</v>
      </c>
      <c r="E116">
        <f t="shared" si="5"/>
        <v>187.83732391457542</v>
      </c>
    </row>
    <row r="117" spans="1:5" x14ac:dyDescent="0.35">
      <c r="A117">
        <v>108</v>
      </c>
      <c r="B117">
        <f t="shared" si="6"/>
        <v>108</v>
      </c>
      <c r="C117">
        <f t="shared" si="7"/>
        <v>187.83732391457542</v>
      </c>
      <c r="D117">
        <f t="shared" si="4"/>
        <v>1.6813778011233647</v>
      </c>
      <c r="E117">
        <f t="shared" si="5"/>
        <v>189.5187017156988</v>
      </c>
    </row>
    <row r="118" spans="1:5" x14ac:dyDescent="0.35">
      <c r="A118">
        <v>109</v>
      </c>
      <c r="B118">
        <f t="shared" si="6"/>
        <v>109</v>
      </c>
      <c r="C118">
        <f t="shared" si="7"/>
        <v>189.5187017156988</v>
      </c>
      <c r="D118">
        <f t="shared" si="4"/>
        <v>1.6622514505502588</v>
      </c>
      <c r="E118">
        <f t="shared" si="5"/>
        <v>191.18095316624905</v>
      </c>
    </row>
    <row r="119" spans="1:5" x14ac:dyDescent="0.35">
      <c r="A119">
        <v>110</v>
      </c>
      <c r="B119">
        <f t="shared" si="6"/>
        <v>110</v>
      </c>
      <c r="C119">
        <f t="shared" si="7"/>
        <v>191.18095316624905</v>
      </c>
      <c r="D119">
        <f t="shared" si="4"/>
        <v>1.6431203550845979</v>
      </c>
      <c r="E119">
        <f t="shared" si="5"/>
        <v>192.82407352133364</v>
      </c>
    </row>
    <row r="120" spans="1:5" x14ac:dyDescent="0.35">
      <c r="A120">
        <v>111</v>
      </c>
      <c r="B120">
        <f t="shared" si="6"/>
        <v>111</v>
      </c>
      <c r="C120">
        <f t="shared" si="7"/>
        <v>192.82407352133364</v>
      </c>
      <c r="D120">
        <f t="shared" si="4"/>
        <v>1.6239945591478535</v>
      </c>
      <c r="E120">
        <f t="shared" si="5"/>
        <v>194.44806808048151</v>
      </c>
    </row>
    <row r="121" spans="1:5" x14ac:dyDescent="0.35">
      <c r="A121">
        <v>112</v>
      </c>
      <c r="B121">
        <f t="shared" si="6"/>
        <v>112</v>
      </c>
      <c r="C121">
        <f t="shared" si="7"/>
        <v>194.44806808048151</v>
      </c>
      <c r="D121">
        <f t="shared" si="4"/>
        <v>1.6048836962057569</v>
      </c>
      <c r="E121">
        <f t="shared" si="5"/>
        <v>196.05295177668725</v>
      </c>
    </row>
    <row r="122" spans="1:5" x14ac:dyDescent="0.35">
      <c r="A122">
        <v>113</v>
      </c>
      <c r="B122">
        <f t="shared" si="6"/>
        <v>113</v>
      </c>
      <c r="C122">
        <f t="shared" si="7"/>
        <v>196.05295177668725</v>
      </c>
      <c r="D122">
        <f t="shared" si="4"/>
        <v>1.5857969982764113</v>
      </c>
      <c r="E122">
        <f t="shared" si="5"/>
        <v>197.63874877496366</v>
      </c>
    </row>
    <row r="123" spans="1:5" x14ac:dyDescent="0.35">
      <c r="A123">
        <v>114</v>
      </c>
      <c r="B123">
        <f t="shared" si="6"/>
        <v>114</v>
      </c>
      <c r="C123">
        <f t="shared" si="7"/>
        <v>197.63874877496366</v>
      </c>
      <c r="D123">
        <f t="shared" si="4"/>
        <v>1.566743305476971</v>
      </c>
      <c r="E123">
        <f t="shared" si="5"/>
        <v>199.20549208044062</v>
      </c>
    </row>
    <row r="124" spans="1:5" x14ac:dyDescent="0.35">
      <c r="A124">
        <v>115</v>
      </c>
      <c r="B124">
        <f t="shared" si="6"/>
        <v>115</v>
      </c>
      <c r="C124">
        <f t="shared" si="7"/>
        <v>199.20549208044062</v>
      </c>
      <c r="D124">
        <f t="shared" si="4"/>
        <v>1.5477310755882667</v>
      </c>
      <c r="E124">
        <f t="shared" si="5"/>
        <v>200.75322315602889</v>
      </c>
    </row>
    <row r="125" spans="1:5" x14ac:dyDescent="0.35">
      <c r="A125">
        <v>116</v>
      </c>
      <c r="B125">
        <f t="shared" si="6"/>
        <v>116</v>
      </c>
      <c r="C125">
        <f t="shared" si="7"/>
        <v>200.75322315602889</v>
      </c>
      <c r="D125">
        <f t="shared" si="4"/>
        <v>1.528768393618372</v>
      </c>
      <c r="E125">
        <f t="shared" si="5"/>
        <v>202.28199154964727</v>
      </c>
    </row>
    <row r="126" spans="1:5" x14ac:dyDescent="0.35">
      <c r="A126">
        <v>117</v>
      </c>
      <c r="B126">
        <f t="shared" si="6"/>
        <v>117</v>
      </c>
      <c r="C126">
        <f t="shared" si="7"/>
        <v>202.28199154964727</v>
      </c>
      <c r="D126">
        <f t="shared" si="4"/>
        <v>1.509862981347539</v>
      </c>
      <c r="E126">
        <f t="shared" si="5"/>
        <v>203.79185453099481</v>
      </c>
    </row>
    <row r="127" spans="1:5" x14ac:dyDescent="0.35">
      <c r="A127">
        <v>118</v>
      </c>
      <c r="B127">
        <f t="shared" si="6"/>
        <v>118</v>
      </c>
      <c r="C127">
        <f t="shared" si="7"/>
        <v>203.79185453099481</v>
      </c>
      <c r="D127">
        <f t="shared" si="4"/>
        <v>1.491022206838349</v>
      </c>
      <c r="E127">
        <f t="shared" si="5"/>
        <v>205.28287673783316</v>
      </c>
    </row>
    <row r="128" spans="1:5" x14ac:dyDescent="0.35">
      <c r="A128">
        <v>119</v>
      </c>
      <c r="B128">
        <f t="shared" si="6"/>
        <v>119</v>
      </c>
      <c r="C128">
        <f t="shared" si="7"/>
        <v>205.28287673783316</v>
      </c>
      <c r="D128">
        <f t="shared" si="4"/>
        <v>1.4722530938961667</v>
      </c>
      <c r="E128">
        <f t="shared" si="5"/>
        <v>206.75512983172933</v>
      </c>
    </row>
    <row r="129" spans="1:5" x14ac:dyDescent="0.35">
      <c r="A129">
        <v>120</v>
      </c>
      <c r="B129">
        <f t="shared" si="6"/>
        <v>120</v>
      </c>
      <c r="C129">
        <f t="shared" si="7"/>
        <v>206.75512983172933</v>
      </c>
      <c r="D129">
        <f t="shared" si="4"/>
        <v>1.4535623314663464</v>
      </c>
      <c r="E129">
        <f t="shared" si="5"/>
        <v>208.20869216319568</v>
      </c>
    </row>
    <row r="130" spans="1:5" x14ac:dyDescent="0.35">
      <c r="A130">
        <v>121</v>
      </c>
      <c r="B130">
        <f t="shared" si="6"/>
        <v>121</v>
      </c>
      <c r="C130">
        <f t="shared" si="7"/>
        <v>208.20869216319568</v>
      </c>
      <c r="D130">
        <f t="shared" si="4"/>
        <v>1.4349562829556877</v>
      </c>
      <c r="E130">
        <f t="shared" si="5"/>
        <v>209.64364844615136</v>
      </c>
    </row>
    <row r="131" spans="1:5" x14ac:dyDescent="0.35">
      <c r="A131">
        <v>122</v>
      </c>
      <c r="B131">
        <f t="shared" si="6"/>
        <v>122</v>
      </c>
      <c r="C131">
        <f t="shared" si="7"/>
        <v>209.64364844615136</v>
      </c>
      <c r="D131">
        <f t="shared" si="4"/>
        <v>1.4164409954668096</v>
      </c>
      <c r="E131">
        <f t="shared" si="5"/>
        <v>211.06008944161817</v>
      </c>
    </row>
    <row r="132" spans="1:5" x14ac:dyDescent="0.35">
      <c r="A132">
        <v>123</v>
      </c>
      <c r="B132">
        <f t="shared" si="6"/>
        <v>123</v>
      </c>
      <c r="C132">
        <f t="shared" si="7"/>
        <v>211.06008944161817</v>
      </c>
      <c r="D132">
        <f t="shared" si="4"/>
        <v>1.3980222089351446</v>
      </c>
      <c r="E132">
        <f t="shared" si="5"/>
        <v>212.45811165055332</v>
      </c>
    </row>
    <row r="133" spans="1:5" x14ac:dyDescent="0.35">
      <c r="A133">
        <v>124</v>
      </c>
      <c r="B133">
        <f t="shared" si="6"/>
        <v>124</v>
      </c>
      <c r="C133">
        <f t="shared" si="7"/>
        <v>212.45811165055332</v>
      </c>
      <c r="D133">
        <f t="shared" si="4"/>
        <v>1.3797053651592233</v>
      </c>
      <c r="E133">
        <f t="shared" si="5"/>
        <v>213.83781701571255</v>
      </c>
    </row>
    <row r="134" spans="1:5" x14ac:dyDescent="0.35">
      <c r="A134">
        <v>125</v>
      </c>
      <c r="B134">
        <f t="shared" si="6"/>
        <v>125</v>
      </c>
      <c r="C134">
        <f t="shared" si="7"/>
        <v>213.83781701571255</v>
      </c>
      <c r="D134">
        <f t="shared" si="4"/>
        <v>1.3614956167158314</v>
      </c>
      <c r="E134">
        <f t="shared" si="5"/>
        <v>215.19931263242839</v>
      </c>
    </row>
    <row r="135" spans="1:5" x14ac:dyDescent="0.35">
      <c r="A135">
        <v>126</v>
      </c>
      <c r="B135">
        <f t="shared" si="6"/>
        <v>126</v>
      </c>
      <c r="C135">
        <f t="shared" si="7"/>
        <v>215.19931263242839</v>
      </c>
      <c r="D135">
        <f t="shared" si="4"/>
        <v>1.3433978357525376</v>
      </c>
      <c r="E135">
        <f t="shared" si="5"/>
        <v>216.54271046818093</v>
      </c>
    </row>
    <row r="136" spans="1:5" x14ac:dyDescent="0.35">
      <c r="A136">
        <v>127</v>
      </c>
      <c r="B136">
        <f t="shared" si="6"/>
        <v>127</v>
      </c>
      <c r="C136">
        <f t="shared" si="7"/>
        <v>216.54271046818093</v>
      </c>
      <c r="D136">
        <f t="shared" si="4"/>
        <v>1.3254166226508082</v>
      </c>
      <c r="E136">
        <f t="shared" si="5"/>
        <v>217.86812709083173</v>
      </c>
    </row>
    <row r="137" spans="1:5" x14ac:dyDescent="0.35">
      <c r="A137">
        <v>128</v>
      </c>
      <c r="B137">
        <f t="shared" si="6"/>
        <v>128</v>
      </c>
      <c r="C137">
        <f t="shared" si="7"/>
        <v>217.86812709083173</v>
      </c>
      <c r="D137">
        <f t="shared" ref="D137:D200" si="8">$B$2 * POWER(C137,3/4) * (1 - POWER(C137/$B$4,1/4))</f>
        <v>1.3075563145538047</v>
      </c>
      <c r="E137">
        <f t="shared" ref="E137:E200" si="9">C137 + $B$3 * D137</f>
        <v>219.17568340538554</v>
      </c>
    </row>
    <row r="138" spans="1:5" x14ac:dyDescent="0.35">
      <c r="A138">
        <v>129</v>
      </c>
      <c r="B138">
        <f t="shared" ref="B138:B201" si="10">B137 + $B$3</f>
        <v>129</v>
      </c>
      <c r="C138">
        <f t="shared" ref="C138:C201" si="11">E137</f>
        <v>219.17568340538554</v>
      </c>
      <c r="D138">
        <f t="shared" si="8"/>
        <v>1.2898209937535825</v>
      </c>
      <c r="E138">
        <f t="shared" si="9"/>
        <v>220.46550439913912</v>
      </c>
    </row>
    <row r="139" spans="1:5" x14ac:dyDescent="0.35">
      <c r="A139">
        <v>130</v>
      </c>
      <c r="B139">
        <f t="shared" si="10"/>
        <v>130</v>
      </c>
      <c r="C139">
        <f t="shared" si="11"/>
        <v>220.46550439913912</v>
      </c>
      <c r="D139">
        <f t="shared" si="8"/>
        <v>1.2722144959331141</v>
      </c>
      <c r="E139">
        <f t="shared" si="9"/>
        <v>221.73771889507225</v>
      </c>
    </row>
    <row r="140" spans="1:5" x14ac:dyDescent="0.35">
      <c r="A140">
        <v>131</v>
      </c>
      <c r="B140">
        <f t="shared" si="10"/>
        <v>131</v>
      </c>
      <c r="C140">
        <f t="shared" si="11"/>
        <v>221.73771889507225</v>
      </c>
      <c r="D140">
        <f t="shared" si="8"/>
        <v>1.2547404182591753</v>
      </c>
      <c r="E140">
        <f t="shared" si="9"/>
        <v>222.99245931333144</v>
      </c>
    </row>
    <row r="141" spans="1:5" x14ac:dyDescent="0.35">
      <c r="A141">
        <v>132</v>
      </c>
      <c r="B141">
        <f t="shared" si="10"/>
        <v>132</v>
      </c>
      <c r="C141">
        <f t="shared" si="11"/>
        <v>222.99245931333144</v>
      </c>
      <c r="D141">
        <f t="shared" si="8"/>
        <v>1.2374021273227449</v>
      </c>
      <c r="E141">
        <f t="shared" si="9"/>
        <v>224.22986144065419</v>
      </c>
    </row>
    <row r="142" spans="1:5" x14ac:dyDescent="0.35">
      <c r="A142">
        <v>133</v>
      </c>
      <c r="B142">
        <f t="shared" si="10"/>
        <v>133</v>
      </c>
      <c r="C142">
        <f t="shared" si="11"/>
        <v>224.22986144065419</v>
      </c>
      <c r="D142">
        <f t="shared" si="8"/>
        <v>1.2202027669240596</v>
      </c>
      <c r="E142">
        <f t="shared" si="9"/>
        <v>225.45006420757824</v>
      </c>
    </row>
    <row r="143" spans="1:5" x14ac:dyDescent="0.35">
      <c r="A143">
        <v>134</v>
      </c>
      <c r="B143">
        <f t="shared" si="10"/>
        <v>134</v>
      </c>
      <c r="C143">
        <f t="shared" si="11"/>
        <v>225.45006420757824</v>
      </c>
      <c r="D143">
        <f t="shared" si="8"/>
        <v>1.203145265700027</v>
      </c>
      <c r="E143">
        <f t="shared" si="9"/>
        <v>226.65320947327825</v>
      </c>
    </row>
    <row r="144" spans="1:5" x14ac:dyDescent="0.35">
      <c r="A144">
        <v>135</v>
      </c>
      <c r="B144">
        <f t="shared" si="10"/>
        <v>135</v>
      </c>
      <c r="C144">
        <f t="shared" si="11"/>
        <v>226.65320947327825</v>
      </c>
      <c r="D144">
        <f t="shared" si="8"/>
        <v>1.1862323445921155</v>
      </c>
      <c r="E144">
        <f t="shared" si="9"/>
        <v>227.83944181787038</v>
      </c>
    </row>
    <row r="145" spans="1:5" x14ac:dyDescent="0.35">
      <c r="A145">
        <v>136</v>
      </c>
      <c r="B145">
        <f t="shared" si="10"/>
        <v>136</v>
      </c>
      <c r="C145">
        <f t="shared" si="11"/>
        <v>227.83944181787038</v>
      </c>
      <c r="D145">
        <f t="shared" si="8"/>
        <v>1.169466524153342</v>
      </c>
      <c r="E145">
        <f t="shared" si="9"/>
        <v>229.00890834202372</v>
      </c>
    </row>
    <row r="146" spans="1:5" x14ac:dyDescent="0.35">
      <c r="A146">
        <v>137</v>
      </c>
      <c r="B146">
        <f t="shared" si="10"/>
        <v>137</v>
      </c>
      <c r="C146">
        <f t="shared" si="11"/>
        <v>229.00890834202372</v>
      </c>
      <c r="D146">
        <f t="shared" si="8"/>
        <v>1.1528501316933328</v>
      </c>
      <c r="E146">
        <f t="shared" si="9"/>
        <v>230.16175847371704</v>
      </c>
    </row>
    <row r="147" spans="1:5" x14ac:dyDescent="0.35">
      <c r="A147">
        <v>138</v>
      </c>
      <c r="B147">
        <f t="shared" si="10"/>
        <v>138</v>
      </c>
      <c r="C147">
        <f t="shared" si="11"/>
        <v>230.16175847371704</v>
      </c>
      <c r="D147">
        <f t="shared" si="8"/>
        <v>1.1363853082608255</v>
      </c>
      <c r="E147">
        <f t="shared" si="9"/>
        <v>231.29814378197787</v>
      </c>
    </row>
    <row r="148" spans="1:5" x14ac:dyDescent="0.35">
      <c r="A148">
        <v>139</v>
      </c>
      <c r="B148">
        <f t="shared" si="10"/>
        <v>139</v>
      </c>
      <c r="C148">
        <f t="shared" si="11"/>
        <v>231.29814378197787</v>
      </c>
      <c r="D148">
        <f t="shared" si="8"/>
        <v>1.120074015463318</v>
      </c>
      <c r="E148">
        <f t="shared" si="9"/>
        <v>232.4182177974412</v>
      </c>
    </row>
    <row r="149" spans="1:5" x14ac:dyDescent="0.35">
      <c r="A149">
        <v>140</v>
      </c>
      <c r="B149">
        <f t="shared" si="10"/>
        <v>140</v>
      </c>
      <c r="C149">
        <f t="shared" si="11"/>
        <v>232.4182177974412</v>
      </c>
      <c r="D149">
        <f t="shared" si="8"/>
        <v>1.1039180421239398</v>
      </c>
      <c r="E149">
        <f t="shared" si="9"/>
        <v>233.52213583956515</v>
      </c>
    </row>
    <row r="150" spans="1:5" x14ac:dyDescent="0.35">
      <c r="A150">
        <v>141</v>
      </c>
      <c r="B150">
        <f t="shared" si="10"/>
        <v>141</v>
      </c>
      <c r="C150">
        <f t="shared" si="11"/>
        <v>233.52213583956515</v>
      </c>
      <c r="D150">
        <f t="shared" si="8"/>
        <v>1.0879190107758261</v>
      </c>
      <c r="E150">
        <f t="shared" si="9"/>
        <v>234.61005485034099</v>
      </c>
    </row>
    <row r="151" spans="1:5" x14ac:dyDescent="0.35">
      <c r="A151">
        <v>142</v>
      </c>
      <c r="B151">
        <f t="shared" si="10"/>
        <v>142</v>
      </c>
      <c r="C151">
        <f t="shared" si="11"/>
        <v>234.61005485034099</v>
      </c>
      <c r="D151">
        <f t="shared" si="8"/>
        <v>1.0720783839946362</v>
      </c>
      <c r="E151">
        <f t="shared" si="9"/>
        <v>235.68213323433562</v>
      </c>
    </row>
    <row r="152" spans="1:5" x14ac:dyDescent="0.35">
      <c r="A152">
        <v>143</v>
      </c>
      <c r="B152">
        <f t="shared" si="10"/>
        <v>143</v>
      </c>
      <c r="C152">
        <f t="shared" si="11"/>
        <v>235.68213323433562</v>
      </c>
      <c r="D152">
        <f t="shared" si="8"/>
        <v>1.0563974705700565</v>
      </c>
      <c r="E152">
        <f t="shared" si="9"/>
        <v>236.73853070490568</v>
      </c>
    </row>
    <row r="153" spans="1:5" x14ac:dyDescent="0.35">
      <c r="A153">
        <v>144</v>
      </c>
      <c r="B153">
        <f t="shared" si="10"/>
        <v>144</v>
      </c>
      <c r="C153">
        <f t="shared" si="11"/>
        <v>236.73853070490568</v>
      </c>
      <c r="D153">
        <f t="shared" si="8"/>
        <v>1.0408774315173626</v>
      </c>
      <c r="E153">
        <f t="shared" si="9"/>
        <v>237.77940813642306</v>
      </c>
    </row>
    <row r="154" spans="1:5" x14ac:dyDescent="0.35">
      <c r="A154">
        <v>145</v>
      </c>
      <c r="B154">
        <f t="shared" si="10"/>
        <v>145</v>
      </c>
      <c r="C154">
        <f t="shared" si="11"/>
        <v>237.77940813642306</v>
      </c>
      <c r="D154">
        <f t="shared" si="8"/>
        <v>1.0255192859303353</v>
      </c>
      <c r="E154">
        <f t="shared" si="9"/>
        <v>238.80492742235339</v>
      </c>
    </row>
    <row r="155" spans="1:5" x14ac:dyDescent="0.35">
      <c r="A155">
        <v>146</v>
      </c>
      <c r="B155">
        <f t="shared" si="10"/>
        <v>146</v>
      </c>
      <c r="C155">
        <f t="shared" si="11"/>
        <v>238.80492742235339</v>
      </c>
      <c r="D155">
        <f t="shared" si="8"/>
        <v>1.0103239166770046</v>
      </c>
      <c r="E155">
        <f t="shared" si="9"/>
        <v>239.8152513390304</v>
      </c>
    </row>
    <row r="156" spans="1:5" x14ac:dyDescent="0.35">
      <c r="A156">
        <v>147</v>
      </c>
      <c r="B156">
        <f t="shared" si="10"/>
        <v>147</v>
      </c>
      <c r="C156">
        <f t="shared" si="11"/>
        <v>239.8152513390304</v>
      </c>
      <c r="D156">
        <f t="shared" si="8"/>
        <v>0.99529207593986857</v>
      </c>
      <c r="E156">
        <f t="shared" si="9"/>
        <v>240.81054341497025</v>
      </c>
    </row>
    <row r="157" spans="1:5" x14ac:dyDescent="0.35">
      <c r="A157">
        <v>148</v>
      </c>
      <c r="B157">
        <f t="shared" si="10"/>
        <v>148</v>
      </c>
      <c r="C157">
        <f t="shared" si="11"/>
        <v>240.81054341497025</v>
      </c>
      <c r="D157">
        <f t="shared" si="8"/>
        <v>0.98042439060239528</v>
      </c>
      <c r="E157">
        <f t="shared" si="9"/>
        <v>241.79096780557265</v>
      </c>
    </row>
    <row r="158" spans="1:5" x14ac:dyDescent="0.35">
      <c r="A158">
        <v>149</v>
      </c>
      <c r="B158">
        <f t="shared" si="10"/>
        <v>149</v>
      </c>
      <c r="C158">
        <f t="shared" si="11"/>
        <v>241.79096780557265</v>
      </c>
      <c r="D158">
        <f t="shared" si="8"/>
        <v>0.96572136748372039</v>
      </c>
      <c r="E158">
        <f t="shared" si="9"/>
        <v>242.75668917305637</v>
      </c>
    </row>
    <row r="159" spans="1:5" x14ac:dyDescent="0.35">
      <c r="A159">
        <v>150</v>
      </c>
      <c r="B159">
        <f t="shared" si="10"/>
        <v>150</v>
      </c>
      <c r="C159">
        <f t="shared" si="11"/>
        <v>242.75668917305637</v>
      </c>
      <c r="D159">
        <f t="shared" si="8"/>
        <v>0.9511833984236745</v>
      </c>
      <c r="E159">
        <f t="shared" si="9"/>
        <v>243.70787257148004</v>
      </c>
    </row>
    <row r="160" spans="1:5" x14ac:dyDescent="0.35">
      <c r="A160">
        <v>151</v>
      </c>
      <c r="B160">
        <f t="shared" si="10"/>
        <v>151</v>
      </c>
      <c r="C160">
        <f t="shared" si="11"/>
        <v>243.70787257148004</v>
      </c>
      <c r="D160">
        <f t="shared" si="8"/>
        <v>0.93681076522021101</v>
      </c>
      <c r="E160">
        <f t="shared" si="9"/>
        <v>244.64468333670024</v>
      </c>
    </row>
    <row r="161" spans="1:5" x14ac:dyDescent="0.35">
      <c r="A161">
        <v>152</v>
      </c>
      <c r="B161">
        <f t="shared" si="10"/>
        <v>152</v>
      </c>
      <c r="C161">
        <f t="shared" si="11"/>
        <v>244.64468333670024</v>
      </c>
      <c r="D161">
        <f t="shared" si="8"/>
        <v>0.9226036444216178</v>
      </c>
      <c r="E161">
        <f t="shared" si="9"/>
        <v>245.56728698112187</v>
      </c>
    </row>
    <row r="162" spans="1:5" x14ac:dyDescent="0.35">
      <c r="A162">
        <v>153</v>
      </c>
      <c r="B162">
        <f t="shared" si="10"/>
        <v>153</v>
      </c>
      <c r="C162">
        <f t="shared" si="11"/>
        <v>245.56728698112187</v>
      </c>
      <c r="D162">
        <f t="shared" si="8"/>
        <v>0.90856211197579806</v>
      </c>
      <c r="E162">
        <f t="shared" si="9"/>
        <v>246.47584909309768</v>
      </c>
    </row>
    <row r="163" spans="1:5" x14ac:dyDescent="0.35">
      <c r="A163">
        <v>154</v>
      </c>
      <c r="B163">
        <f t="shared" si="10"/>
        <v>154</v>
      </c>
      <c r="C163">
        <f t="shared" si="11"/>
        <v>246.47584909309768</v>
      </c>
      <c r="D163">
        <f t="shared" si="8"/>
        <v>0.89468614773907795</v>
      </c>
      <c r="E163">
        <f t="shared" si="9"/>
        <v>247.37053524083674</v>
      </c>
    </row>
    <row r="164" spans="1:5" x14ac:dyDescent="0.35">
      <c r="A164">
        <v>155</v>
      </c>
      <c r="B164">
        <f t="shared" si="10"/>
        <v>155</v>
      </c>
      <c r="C164">
        <f t="shared" si="11"/>
        <v>247.37053524083674</v>
      </c>
      <c r="D164">
        <f t="shared" si="8"/>
        <v>0.88097563984706195</v>
      </c>
      <c r="E164">
        <f t="shared" si="9"/>
        <v>248.25151088068381</v>
      </c>
    </row>
    <row r="165" spans="1:5" x14ac:dyDescent="0.35">
      <c r="A165">
        <v>156</v>
      </c>
      <c r="B165">
        <f t="shared" si="10"/>
        <v>156</v>
      </c>
      <c r="C165">
        <f t="shared" si="11"/>
        <v>248.25151088068381</v>
      </c>
      <c r="D165">
        <f t="shared" si="8"/>
        <v>0.86743038895003477</v>
      </c>
      <c r="E165">
        <f t="shared" si="9"/>
        <v>249.11894126963384</v>
      </c>
    </row>
    <row r="166" spans="1:5" x14ac:dyDescent="0.35">
      <c r="A166">
        <v>157</v>
      </c>
      <c r="B166">
        <f t="shared" si="10"/>
        <v>157</v>
      </c>
      <c r="C166">
        <f t="shared" si="11"/>
        <v>249.11894126963384</v>
      </c>
      <c r="D166">
        <f t="shared" si="8"/>
        <v>0.85405011231558314</v>
      </c>
      <c r="E166">
        <f t="shared" si="9"/>
        <v>249.97299138194941</v>
      </c>
    </row>
    <row r="167" spans="1:5" x14ac:dyDescent="0.35">
      <c r="A167">
        <v>158</v>
      </c>
      <c r="B167">
        <f t="shared" si="10"/>
        <v>158</v>
      </c>
      <c r="C167">
        <f t="shared" si="11"/>
        <v>249.97299138194941</v>
      </c>
      <c r="D167">
        <f t="shared" si="8"/>
        <v>0.84083444780099614</v>
      </c>
      <c r="E167">
        <f t="shared" si="9"/>
        <v>250.81382582975041</v>
      </c>
    </row>
    <row r="168" spans="1:5" x14ac:dyDescent="0.35">
      <c r="A168">
        <v>159</v>
      </c>
      <c r="B168">
        <f t="shared" si="10"/>
        <v>159</v>
      </c>
      <c r="C168">
        <f t="shared" si="11"/>
        <v>250.81382582975041</v>
      </c>
      <c r="D168">
        <f t="shared" si="8"/>
        <v>0.82778295769818766</v>
      </c>
      <c r="E168">
        <f t="shared" si="9"/>
        <v>251.6416087874486</v>
      </c>
    </row>
    <row r="169" spans="1:5" x14ac:dyDescent="0.35">
      <c r="A169">
        <v>160</v>
      </c>
      <c r="B169">
        <f t="shared" si="10"/>
        <v>160</v>
      </c>
      <c r="C169">
        <f t="shared" si="11"/>
        <v>251.6416087874486</v>
      </c>
      <c r="D169">
        <f t="shared" si="8"/>
        <v>0.81489513245374745</v>
      </c>
      <c r="E169">
        <f t="shared" si="9"/>
        <v>252.45650391990236</v>
      </c>
    </row>
    <row r="170" spans="1:5" x14ac:dyDescent="0.35">
      <c r="A170">
        <v>161</v>
      </c>
      <c r="B170">
        <f t="shared" si="10"/>
        <v>161</v>
      </c>
      <c r="C170">
        <f t="shared" si="11"/>
        <v>252.45650391990236</v>
      </c>
      <c r="D170">
        <f t="shared" si="8"/>
        <v>0.80217039426690384</v>
      </c>
      <c r="E170">
        <f t="shared" si="9"/>
        <v>253.25867431416927</v>
      </c>
    </row>
    <row r="171" spans="1:5" x14ac:dyDescent="0.35">
      <c r="A171">
        <v>162</v>
      </c>
      <c r="B171">
        <f t="shared" si="10"/>
        <v>162</v>
      </c>
      <c r="C171">
        <f t="shared" si="11"/>
        <v>253.25867431416927</v>
      </c>
      <c r="D171">
        <f t="shared" si="8"/>
        <v>0.78960810056804542</v>
      </c>
      <c r="E171">
        <f t="shared" si="9"/>
        <v>254.04828241473732</v>
      </c>
    </row>
    <row r="172" spans="1:5" x14ac:dyDescent="0.35">
      <c r="A172">
        <v>163</v>
      </c>
      <c r="B172">
        <f t="shared" si="10"/>
        <v>163</v>
      </c>
      <c r="C172">
        <f t="shared" si="11"/>
        <v>254.04828241473732</v>
      </c>
      <c r="D172">
        <f t="shared" si="8"/>
        <v>0.7772075473805734</v>
      </c>
      <c r="E172">
        <f t="shared" si="9"/>
        <v>254.8254899621179</v>
      </c>
    </row>
    <row r="173" spans="1:5" x14ac:dyDescent="0.35">
      <c r="A173">
        <v>164</v>
      </c>
      <c r="B173">
        <f t="shared" si="10"/>
        <v>164</v>
      </c>
      <c r="C173">
        <f t="shared" si="11"/>
        <v>254.8254899621179</v>
      </c>
      <c r="D173">
        <f t="shared" si="8"/>
        <v>0.76496797256874871</v>
      </c>
      <c r="E173">
        <f t="shared" si="9"/>
        <v>255.59045793468664</v>
      </c>
    </row>
    <row r="174" spans="1:5" x14ac:dyDescent="0.35">
      <c r="A174">
        <v>165</v>
      </c>
      <c r="B174">
        <f t="shared" si="10"/>
        <v>165</v>
      </c>
      <c r="C174">
        <f t="shared" si="11"/>
        <v>255.59045793468664</v>
      </c>
      <c r="D174">
        <f t="shared" si="8"/>
        <v>0.7528885589742853</v>
      </c>
      <c r="E174">
        <f t="shared" si="9"/>
        <v>256.34334649366093</v>
      </c>
    </row>
    <row r="175" spans="1:5" x14ac:dyDescent="0.35">
      <c r="A175">
        <v>166</v>
      </c>
      <c r="B175">
        <f t="shared" si="10"/>
        <v>166</v>
      </c>
      <c r="C175">
        <f t="shared" si="11"/>
        <v>256.34334649366093</v>
      </c>
      <c r="D175">
        <f t="shared" si="8"/>
        <v>0.74096843744435181</v>
      </c>
      <c r="E175">
        <f t="shared" si="9"/>
        <v>257.08431493110527</v>
      </c>
    </row>
    <row r="176" spans="1:5" x14ac:dyDescent="0.35">
      <c r="A176">
        <v>167</v>
      </c>
      <c r="B176">
        <f t="shared" si="10"/>
        <v>167</v>
      </c>
      <c r="C176">
        <f t="shared" si="11"/>
        <v>257.08431493110527</v>
      </c>
      <c r="D176">
        <f t="shared" si="8"/>
        <v>0.72920668975370417</v>
      </c>
      <c r="E176">
        <f t="shared" si="9"/>
        <v>257.81352162085898</v>
      </c>
    </row>
    <row r="177" spans="1:5" x14ac:dyDescent="0.35">
      <c r="A177">
        <v>168</v>
      </c>
      <c r="B177">
        <f t="shared" si="10"/>
        <v>168</v>
      </c>
      <c r="C177">
        <f t="shared" si="11"/>
        <v>257.81352162085898</v>
      </c>
      <c r="D177">
        <f t="shared" si="8"/>
        <v>0.71760235142357487</v>
      </c>
      <c r="E177">
        <f t="shared" si="9"/>
        <v>258.53112397228256</v>
      </c>
    </row>
    <row r="178" spans="1:5" x14ac:dyDescent="0.35">
      <c r="A178">
        <v>169</v>
      </c>
      <c r="B178">
        <f t="shared" si="10"/>
        <v>169</v>
      </c>
      <c r="C178">
        <f t="shared" si="11"/>
        <v>258.53112397228256</v>
      </c>
      <c r="D178">
        <f t="shared" si="8"/>
        <v>0.70615441443997395</v>
      </c>
      <c r="E178">
        <f t="shared" si="9"/>
        <v>259.23727838672255</v>
      </c>
    </row>
    <row r="179" spans="1:5" x14ac:dyDescent="0.35">
      <c r="A179">
        <v>170</v>
      </c>
      <c r="B179">
        <f t="shared" si="10"/>
        <v>170</v>
      </c>
      <c r="C179">
        <f t="shared" si="11"/>
        <v>259.23727838672255</v>
      </c>
      <c r="D179">
        <f t="shared" si="8"/>
        <v>0.69486182987403688</v>
      </c>
      <c r="E179">
        <f t="shared" si="9"/>
        <v>259.93214021659657</v>
      </c>
    </row>
    <row r="180" spans="1:5" x14ac:dyDescent="0.35">
      <c r="A180">
        <v>171</v>
      </c>
      <c r="B180">
        <f t="shared" si="10"/>
        <v>171</v>
      </c>
      <c r="C180">
        <f t="shared" si="11"/>
        <v>259.93214021659657</v>
      </c>
      <c r="D180">
        <f t="shared" si="8"/>
        <v>0.6837235104069842</v>
      </c>
      <c r="E180">
        <f t="shared" si="9"/>
        <v>260.61586372700356</v>
      </c>
    </row>
    <row r="181" spans="1:5" x14ac:dyDescent="0.35">
      <c r="A181">
        <v>172</v>
      </c>
      <c r="B181">
        <f t="shared" si="10"/>
        <v>172</v>
      </c>
      <c r="C181">
        <f t="shared" si="11"/>
        <v>260.61586372700356</v>
      </c>
      <c r="D181">
        <f t="shared" si="8"/>
        <v>0.67273833276226136</v>
      </c>
      <c r="E181">
        <f t="shared" si="9"/>
        <v>261.28860205976582</v>
      </c>
    </row>
    <row r="182" spans="1:5" x14ac:dyDescent="0.35">
      <c r="A182">
        <v>173</v>
      </c>
      <c r="B182">
        <f t="shared" si="10"/>
        <v>173</v>
      </c>
      <c r="C182">
        <f t="shared" si="11"/>
        <v>261.28860205976582</v>
      </c>
      <c r="D182">
        <f t="shared" si="8"/>
        <v>0.66190514004739076</v>
      </c>
      <c r="E182">
        <f t="shared" si="9"/>
        <v>261.95050719981322</v>
      </c>
    </row>
    <row r="183" spans="1:5" x14ac:dyDescent="0.35">
      <c r="A183">
        <v>174</v>
      </c>
      <c r="B183">
        <f t="shared" si="10"/>
        <v>174</v>
      </c>
      <c r="C183">
        <f t="shared" si="11"/>
        <v>261.95050719981322</v>
      </c>
      <c r="D183">
        <f t="shared" si="8"/>
        <v>0.65122274400801972</v>
      </c>
      <c r="E183">
        <f t="shared" si="9"/>
        <v>262.60172994382123</v>
      </c>
    </row>
    <row r="184" spans="1:5" x14ac:dyDescent="0.35">
      <c r="A184">
        <v>175</v>
      </c>
      <c r="B184">
        <f t="shared" si="10"/>
        <v>175</v>
      </c>
      <c r="C184">
        <f t="shared" si="11"/>
        <v>262.60172994382123</v>
      </c>
      <c r="D184">
        <f t="shared" si="8"/>
        <v>0.64068992719662243</v>
      </c>
      <c r="E184">
        <f t="shared" si="9"/>
        <v>263.24241987101783</v>
      </c>
    </row>
    <row r="185" spans="1:5" x14ac:dyDescent="0.35">
      <c r="A185">
        <v>176</v>
      </c>
      <c r="B185">
        <f t="shared" si="10"/>
        <v>176</v>
      </c>
      <c r="C185">
        <f t="shared" si="11"/>
        <v>263.24241987101783</v>
      </c>
      <c r="D185">
        <f t="shared" si="8"/>
        <v>0.63030544505827568</v>
      </c>
      <c r="E185">
        <f t="shared" si="9"/>
        <v>263.87272531607613</v>
      </c>
    </row>
    <row r="186" spans="1:5" x14ac:dyDescent="0.35">
      <c r="A186">
        <v>177</v>
      </c>
      <c r="B186">
        <f t="shared" si="10"/>
        <v>177</v>
      </c>
      <c r="C186">
        <f t="shared" si="11"/>
        <v>263.87272531607613</v>
      </c>
      <c r="D186">
        <f t="shared" si="8"/>
        <v>0.62006802793588134</v>
      </c>
      <c r="E186">
        <f t="shared" si="9"/>
        <v>264.492793344012</v>
      </c>
    </row>
    <row r="187" spans="1:5" x14ac:dyDescent="0.35">
      <c r="A187">
        <v>178</v>
      </c>
      <c r="B187">
        <f t="shared" si="10"/>
        <v>178</v>
      </c>
      <c r="C187">
        <f t="shared" si="11"/>
        <v>264.492793344012</v>
      </c>
      <c r="D187">
        <f t="shared" si="8"/>
        <v>0.6099763829971947</v>
      </c>
      <c r="E187">
        <f t="shared" si="9"/>
        <v>265.10276972700922</v>
      </c>
    </row>
    <row r="188" spans="1:5" x14ac:dyDescent="0.35">
      <c r="A188">
        <v>179</v>
      </c>
      <c r="B188">
        <f t="shared" si="10"/>
        <v>179</v>
      </c>
      <c r="C188">
        <f t="shared" si="11"/>
        <v>265.10276972700922</v>
      </c>
      <c r="D188">
        <f t="shared" si="8"/>
        <v>0.60002919608591165</v>
      </c>
      <c r="E188">
        <f t="shared" si="9"/>
        <v>265.70279892309514</v>
      </c>
    </row>
    <row r="189" spans="1:5" x14ac:dyDescent="0.35">
      <c r="A189">
        <v>180</v>
      </c>
      <c r="B189">
        <f t="shared" si="10"/>
        <v>180</v>
      </c>
      <c r="C189">
        <f t="shared" si="11"/>
        <v>265.70279892309514</v>
      </c>
      <c r="D189">
        <f t="shared" si="8"/>
        <v>0.59022513349911765</v>
      </c>
      <c r="E189">
        <f t="shared" si="9"/>
        <v>266.29302405659428</v>
      </c>
    </row>
    <row r="190" spans="1:5" x14ac:dyDescent="0.35">
      <c r="A190">
        <v>181</v>
      </c>
      <c r="B190">
        <f t="shared" si="10"/>
        <v>181</v>
      </c>
      <c r="C190">
        <f t="shared" si="11"/>
        <v>266.29302405659428</v>
      </c>
      <c r="D190">
        <f t="shared" si="8"/>
        <v>0.58056284369328393</v>
      </c>
      <c r="E190">
        <f t="shared" si="9"/>
        <v>266.87358690028753</v>
      </c>
    </row>
    <row r="191" spans="1:5" x14ac:dyDescent="0.35">
      <c r="A191">
        <v>182</v>
      </c>
      <c r="B191">
        <f t="shared" si="10"/>
        <v>182</v>
      </c>
      <c r="C191">
        <f t="shared" si="11"/>
        <v>266.87358690028753</v>
      </c>
      <c r="D191">
        <f t="shared" si="8"/>
        <v>0.57104095892097606</v>
      </c>
      <c r="E191">
        <f t="shared" si="9"/>
        <v>267.44462785920854</v>
      </c>
    </row>
    <row r="192" spans="1:5" x14ac:dyDescent="0.35">
      <c r="A192">
        <v>183</v>
      </c>
      <c r="B192">
        <f t="shared" si="10"/>
        <v>183</v>
      </c>
      <c r="C192">
        <f t="shared" si="11"/>
        <v>267.44462785920854</v>
      </c>
      <c r="D192">
        <f t="shared" si="8"/>
        <v>0.56165809680042045</v>
      </c>
      <c r="E192">
        <f t="shared" si="9"/>
        <v>268.00628595600898</v>
      </c>
    </row>
    <row r="193" spans="1:5" x14ac:dyDescent="0.35">
      <c r="A193">
        <v>184</v>
      </c>
      <c r="B193">
        <f t="shared" si="10"/>
        <v>184</v>
      </c>
      <c r="C193">
        <f t="shared" si="11"/>
        <v>268.00628595600898</v>
      </c>
      <c r="D193">
        <f t="shared" si="8"/>
        <v>0.55241286181997074</v>
      </c>
      <c r="E193">
        <f t="shared" si="9"/>
        <v>268.55869881782894</v>
      </c>
    </row>
    <row r="194" spans="1:5" x14ac:dyDescent="0.35">
      <c r="A194">
        <v>185</v>
      </c>
      <c r="B194">
        <f t="shared" si="10"/>
        <v>185</v>
      </c>
      <c r="C194">
        <f t="shared" si="11"/>
        <v>268.55869881782894</v>
      </c>
      <c r="D194">
        <f t="shared" si="8"/>
        <v>0.54330384677956256</v>
      </c>
      <c r="E194">
        <f t="shared" si="9"/>
        <v>269.10200266460851</v>
      </c>
    </row>
    <row r="195" spans="1:5" x14ac:dyDescent="0.35">
      <c r="A195">
        <v>186</v>
      </c>
      <c r="B195">
        <f t="shared" si="10"/>
        <v>186</v>
      </c>
      <c r="C195">
        <f t="shared" si="11"/>
        <v>269.10200266460851</v>
      </c>
      <c r="D195">
        <f t="shared" si="8"/>
        <v>0.53432963417109047</v>
      </c>
      <c r="E195">
        <f t="shared" si="9"/>
        <v>269.63633229877962</v>
      </c>
    </row>
    <row r="196" spans="1:5" x14ac:dyDescent="0.35">
      <c r="A196">
        <v>187</v>
      </c>
      <c r="B196">
        <f t="shared" si="10"/>
        <v>187</v>
      </c>
      <c r="C196">
        <f t="shared" si="11"/>
        <v>269.63633229877962</v>
      </c>
      <c r="D196">
        <f t="shared" si="8"/>
        <v>0.52548879749969479</v>
      </c>
      <c r="E196">
        <f t="shared" si="9"/>
        <v>270.16182109627931</v>
      </c>
    </row>
    <row r="197" spans="1:5" x14ac:dyDescent="0.35">
      <c r="A197">
        <v>188</v>
      </c>
      <c r="B197">
        <f t="shared" si="10"/>
        <v>188</v>
      </c>
      <c r="C197">
        <f t="shared" si="11"/>
        <v>270.16182109627931</v>
      </c>
      <c r="D197">
        <f t="shared" si="8"/>
        <v>0.51677990254783879</v>
      </c>
      <c r="E197">
        <f t="shared" si="9"/>
        <v>270.67860099882716</v>
      </c>
    </row>
    <row r="198" spans="1:5" x14ac:dyDescent="0.35">
      <c r="A198">
        <v>189</v>
      </c>
      <c r="B198">
        <f t="shared" si="10"/>
        <v>189</v>
      </c>
      <c r="C198">
        <f t="shared" si="11"/>
        <v>270.67860099882716</v>
      </c>
      <c r="D198">
        <f t="shared" si="8"/>
        <v>0.50820150858402724</v>
      </c>
      <c r="E198">
        <f t="shared" si="9"/>
        <v>271.18680250741119</v>
      </c>
    </row>
    <row r="199" spans="1:5" x14ac:dyDescent="0.35">
      <c r="A199">
        <v>190</v>
      </c>
      <c r="B199">
        <f t="shared" si="10"/>
        <v>190</v>
      </c>
      <c r="C199">
        <f t="shared" si="11"/>
        <v>271.18680250741119</v>
      </c>
      <c r="D199">
        <f t="shared" si="8"/>
        <v>0.49975216951801116</v>
      </c>
      <c r="E199">
        <f t="shared" si="9"/>
        <v>271.68655467692918</v>
      </c>
    </row>
    <row r="200" spans="1:5" x14ac:dyDescent="0.35">
      <c r="A200">
        <v>191</v>
      </c>
      <c r="B200">
        <f t="shared" si="10"/>
        <v>191</v>
      </c>
      <c r="C200">
        <f t="shared" si="11"/>
        <v>271.68655467692918</v>
      </c>
      <c r="D200">
        <f t="shared" si="8"/>
        <v>0.49143043500419964</v>
      </c>
      <c r="E200">
        <f t="shared" si="9"/>
        <v>272.17798511193337</v>
      </c>
    </row>
    <row r="201" spans="1:5" x14ac:dyDescent="0.35">
      <c r="A201">
        <v>192</v>
      </c>
      <c r="B201">
        <f t="shared" si="10"/>
        <v>192</v>
      </c>
      <c r="C201">
        <f t="shared" si="11"/>
        <v>272.17798511193337</v>
      </c>
      <c r="D201">
        <f t="shared" ref="D201:D264" si="12">$B$2 * POWER(C201,3/4) * (1 - POWER(C201/$B$4,1/4))</f>
        <v>0.48323485149503659</v>
      </c>
      <c r="E201">
        <f t="shared" ref="E201:E264" si="13">C201 + $B$3 * D201</f>
        <v>272.66121996342838</v>
      </c>
    </row>
    <row r="202" spans="1:5" x14ac:dyDescent="0.35">
      <c r="A202">
        <v>193</v>
      </c>
      <c r="B202">
        <f t="shared" ref="B202:B265" si="14">B201 + $B$3</f>
        <v>193</v>
      </c>
      <c r="C202">
        <f t="shared" ref="C202:C265" si="15">E201</f>
        <v>272.66121996342838</v>
      </c>
      <c r="D202">
        <f t="shared" si="12"/>
        <v>0.47516396324601884</v>
      </c>
      <c r="E202">
        <f t="shared" si="13"/>
        <v>273.1363839266744</v>
      </c>
    </row>
    <row r="203" spans="1:5" x14ac:dyDescent="0.35">
      <c r="A203">
        <v>194</v>
      </c>
      <c r="B203">
        <f t="shared" si="14"/>
        <v>194</v>
      </c>
      <c r="C203">
        <f t="shared" si="15"/>
        <v>273.1363839266744</v>
      </c>
      <c r="D203">
        <f t="shared" si="12"/>
        <v>0.46721631327398855</v>
      </c>
      <c r="E203">
        <f t="shared" si="13"/>
        <v>273.60360023994838</v>
      </c>
    </row>
    <row r="204" spans="1:5" x14ac:dyDescent="0.35">
      <c r="A204">
        <v>195</v>
      </c>
      <c r="B204">
        <f t="shared" si="14"/>
        <v>195</v>
      </c>
      <c r="C204">
        <f t="shared" si="15"/>
        <v>273.60360023994838</v>
      </c>
      <c r="D204">
        <f t="shared" si="12"/>
        <v>0.45939044427026754</v>
      </c>
      <c r="E204">
        <f t="shared" si="13"/>
        <v>274.06299068421862</v>
      </c>
    </row>
    <row r="205" spans="1:5" x14ac:dyDescent="0.35">
      <c r="A205">
        <v>196</v>
      </c>
      <c r="B205">
        <f t="shared" si="14"/>
        <v>196</v>
      </c>
      <c r="C205">
        <f t="shared" si="15"/>
        <v>274.06299068421862</v>
      </c>
      <c r="D205">
        <f t="shared" si="12"/>
        <v>0.45168489947026397</v>
      </c>
      <c r="E205">
        <f t="shared" si="13"/>
        <v>274.51467558368887</v>
      </c>
    </row>
    <row r="206" spans="1:5" x14ac:dyDescent="0.35">
      <c r="A206">
        <v>197</v>
      </c>
      <c r="B206">
        <f t="shared" si="14"/>
        <v>197</v>
      </c>
      <c r="C206">
        <f t="shared" si="15"/>
        <v>274.51467558368887</v>
      </c>
      <c r="D206">
        <f t="shared" si="12"/>
        <v>0.44409822348096356</v>
      </c>
      <c r="E206">
        <f t="shared" si="13"/>
        <v>274.95877380716985</v>
      </c>
    </row>
    <row r="207" spans="1:5" x14ac:dyDescent="0.35">
      <c r="A207">
        <v>198</v>
      </c>
      <c r="B207">
        <f t="shared" si="14"/>
        <v>198</v>
      </c>
      <c r="C207">
        <f t="shared" si="15"/>
        <v>274.95877380716985</v>
      </c>
      <c r="D207">
        <f t="shared" si="12"/>
        <v>0.43662896306786103</v>
      </c>
      <c r="E207">
        <f t="shared" si="13"/>
        <v>275.39540277023769</v>
      </c>
    </row>
    <row r="208" spans="1:5" x14ac:dyDescent="0.35">
      <c r="A208">
        <v>199</v>
      </c>
      <c r="B208">
        <f t="shared" si="14"/>
        <v>199</v>
      </c>
      <c r="C208">
        <f t="shared" si="15"/>
        <v>275.39540277023769</v>
      </c>
      <c r="D208">
        <f t="shared" si="12"/>
        <v>0.42927566790270688</v>
      </c>
      <c r="E208">
        <f t="shared" si="13"/>
        <v>275.82467843814038</v>
      </c>
    </row>
    <row r="209" spans="1:5" x14ac:dyDescent="0.35">
      <c r="A209">
        <v>200</v>
      </c>
      <c r="B209">
        <f t="shared" si="14"/>
        <v>200</v>
      </c>
      <c r="C209">
        <f t="shared" si="15"/>
        <v>275.82467843814038</v>
      </c>
      <c r="D209">
        <f t="shared" si="12"/>
        <v>0.42203689127349425</v>
      </c>
      <c r="E209">
        <f t="shared" si="13"/>
        <v>276.24671532941386</v>
      </c>
    </row>
    <row r="210" spans="1:5" x14ac:dyDescent="0.35">
      <c r="A210">
        <v>201</v>
      </c>
      <c r="B210">
        <f t="shared" si="14"/>
        <v>201</v>
      </c>
      <c r="C210">
        <f t="shared" si="15"/>
        <v>276.24671532941386</v>
      </c>
      <c r="D210">
        <f t="shared" si="12"/>
        <v>0.41491119075802302</v>
      </c>
      <c r="E210">
        <f t="shared" si="13"/>
        <v>276.66162652017186</v>
      </c>
    </row>
    <row r="211" spans="1:5" x14ac:dyDescent="0.35">
      <c r="A211">
        <v>202</v>
      </c>
      <c r="B211">
        <f t="shared" si="14"/>
        <v>202</v>
      </c>
      <c r="C211">
        <f t="shared" si="15"/>
        <v>276.66162652017186</v>
      </c>
      <c r="D211">
        <f t="shared" si="12"/>
        <v>0.4078971288623493</v>
      </c>
      <c r="E211">
        <f t="shared" si="13"/>
        <v>277.06952364903424</v>
      </c>
    </row>
    <row r="212" spans="1:5" x14ac:dyDescent="0.35">
      <c r="A212">
        <v>203</v>
      </c>
      <c r="B212">
        <f t="shared" si="14"/>
        <v>203</v>
      </c>
      <c r="C212">
        <f t="shared" si="15"/>
        <v>277.06952364903424</v>
      </c>
      <c r="D212">
        <f t="shared" si="12"/>
        <v>0.4009932736254147</v>
      </c>
      <c r="E212">
        <f t="shared" si="13"/>
        <v>277.47051692265967</v>
      </c>
    </row>
    <row r="213" spans="1:5" x14ac:dyDescent="0.35">
      <c r="A213">
        <v>204</v>
      </c>
      <c r="B213">
        <f t="shared" si="14"/>
        <v>204</v>
      </c>
      <c r="C213">
        <f t="shared" si="15"/>
        <v>277.47051692265967</v>
      </c>
      <c r="D213">
        <f t="shared" si="12"/>
        <v>0.39419819919108612</v>
      </c>
      <c r="E213">
        <f t="shared" si="13"/>
        <v>277.86471512185074</v>
      </c>
    </row>
    <row r="214" spans="1:5" x14ac:dyDescent="0.35">
      <c r="A214">
        <v>205</v>
      </c>
      <c r="B214">
        <f t="shared" si="14"/>
        <v>205</v>
      </c>
      <c r="C214">
        <f t="shared" si="15"/>
        <v>277.86471512185074</v>
      </c>
      <c r="D214">
        <f t="shared" si="12"/>
        <v>0.38751048634879215</v>
      </c>
      <c r="E214">
        <f t="shared" si="13"/>
        <v>278.25222560819952</v>
      </c>
    </row>
    <row r="215" spans="1:5" x14ac:dyDescent="0.35">
      <c r="A215">
        <v>206</v>
      </c>
      <c r="B215">
        <f t="shared" si="14"/>
        <v>206</v>
      </c>
      <c r="C215">
        <f t="shared" si="15"/>
        <v>278.25222560819952</v>
      </c>
      <c r="D215">
        <f t="shared" si="12"/>
        <v>0.38092872304395947</v>
      </c>
      <c r="E215">
        <f t="shared" si="13"/>
        <v>278.63315433124347</v>
      </c>
    </row>
    <row r="216" spans="1:5" x14ac:dyDescent="0.35">
      <c r="A216">
        <v>207</v>
      </c>
      <c r="B216">
        <f t="shared" si="14"/>
        <v>207</v>
      </c>
      <c r="C216">
        <f t="shared" si="15"/>
        <v>278.63315433124347</v>
      </c>
      <c r="D216">
        <f t="shared" si="12"/>
        <v>0.37445150485935669</v>
      </c>
      <c r="E216">
        <f t="shared" si="13"/>
        <v>279.00760583610281</v>
      </c>
    </row>
    <row r="217" spans="1:5" x14ac:dyDescent="0.35">
      <c r="A217">
        <v>208</v>
      </c>
      <c r="B217">
        <f t="shared" si="14"/>
        <v>208</v>
      </c>
      <c r="C217">
        <f t="shared" si="15"/>
        <v>279.00760583610281</v>
      </c>
      <c r="D217">
        <f t="shared" si="12"/>
        <v>0.36807743546842642</v>
      </c>
      <c r="E217">
        <f t="shared" si="13"/>
        <v>279.37568327157123</v>
      </c>
    </row>
    <row r="218" spans="1:5" x14ac:dyDescent="0.35">
      <c r="A218">
        <v>209</v>
      </c>
      <c r="B218">
        <f t="shared" si="14"/>
        <v>209</v>
      </c>
      <c r="C218">
        <f t="shared" si="15"/>
        <v>279.37568327157123</v>
      </c>
      <c r="D218">
        <f t="shared" si="12"/>
        <v>0.36180512706174034</v>
      </c>
      <c r="E218">
        <f t="shared" si="13"/>
        <v>279.73748839863299</v>
      </c>
    </row>
    <row r="219" spans="1:5" x14ac:dyDescent="0.35">
      <c r="A219">
        <v>210</v>
      </c>
      <c r="B219">
        <f t="shared" si="14"/>
        <v>210</v>
      </c>
      <c r="C219">
        <f t="shared" si="15"/>
        <v>279.73748839863299</v>
      </c>
      <c r="D219">
        <f t="shared" si="12"/>
        <v>0.35563320074751531</v>
      </c>
      <c r="E219">
        <f t="shared" si="13"/>
        <v>280.09312159938048</v>
      </c>
    </row>
    <row r="220" spans="1:5" x14ac:dyDescent="0.35">
      <c r="A220">
        <v>211</v>
      </c>
      <c r="B220">
        <f t="shared" si="14"/>
        <v>211</v>
      </c>
      <c r="C220">
        <f t="shared" si="15"/>
        <v>280.09312159938048</v>
      </c>
      <c r="D220">
        <f t="shared" si="12"/>
        <v>0.34956028692727897</v>
      </c>
      <c r="E220">
        <f t="shared" si="13"/>
        <v>280.44268188630775</v>
      </c>
    </row>
    <row r="221" spans="1:5" x14ac:dyDescent="0.35">
      <c r="A221">
        <v>212</v>
      </c>
      <c r="B221">
        <f t="shared" si="14"/>
        <v>212</v>
      </c>
      <c r="C221">
        <f t="shared" si="15"/>
        <v>280.44268188630775</v>
      </c>
      <c r="D221">
        <f t="shared" si="12"/>
        <v>0.34358502564758509</v>
      </c>
      <c r="E221">
        <f t="shared" si="13"/>
        <v>280.78626691195535</v>
      </c>
    </row>
    <row r="222" spans="1:5" x14ac:dyDescent="0.35">
      <c r="A222">
        <v>213</v>
      </c>
      <c r="B222">
        <f t="shared" si="14"/>
        <v>213</v>
      </c>
      <c r="C222">
        <f t="shared" si="15"/>
        <v>280.78626691195535</v>
      </c>
      <c r="D222">
        <f t="shared" si="12"/>
        <v>0.33770606692877103</v>
      </c>
      <c r="E222">
        <f t="shared" si="13"/>
        <v>281.12397297888413</v>
      </c>
    </row>
    <row r="223" spans="1:5" x14ac:dyDescent="0.35">
      <c r="A223">
        <v>214</v>
      </c>
      <c r="B223">
        <f t="shared" si="14"/>
        <v>214</v>
      </c>
      <c r="C223">
        <f t="shared" si="15"/>
        <v>281.12397297888413</v>
      </c>
      <c r="D223">
        <f t="shared" si="12"/>
        <v>0.33192207107163718</v>
      </c>
      <c r="E223">
        <f t="shared" si="13"/>
        <v>281.45589504995576</v>
      </c>
    </row>
    <row r="224" spans="1:5" x14ac:dyDescent="0.35">
      <c r="A224">
        <v>215</v>
      </c>
      <c r="B224">
        <f t="shared" si="14"/>
        <v>215</v>
      </c>
      <c r="C224">
        <f t="shared" si="15"/>
        <v>281.45589504995576</v>
      </c>
      <c r="D224">
        <f t="shared" si="12"/>
        <v>0.32623170894292536</v>
      </c>
      <c r="E224">
        <f t="shared" si="13"/>
        <v>281.7821267588987</v>
      </c>
    </row>
    <row r="225" spans="1:5" x14ac:dyDescent="0.35">
      <c r="A225">
        <v>216</v>
      </c>
      <c r="B225">
        <f t="shared" si="14"/>
        <v>216</v>
      </c>
      <c r="C225">
        <f t="shared" si="15"/>
        <v>281.7821267588987</v>
      </c>
      <c r="D225">
        <f t="shared" si="12"/>
        <v>0.32063366224048084</v>
      </c>
      <c r="E225">
        <f t="shared" si="13"/>
        <v>282.10276042113918</v>
      </c>
    </row>
    <row r="226" spans="1:5" x14ac:dyDescent="0.35">
      <c r="A226">
        <v>217</v>
      </c>
      <c r="B226">
        <f t="shared" si="14"/>
        <v>217</v>
      </c>
      <c r="C226">
        <f t="shared" si="15"/>
        <v>282.10276042113918</v>
      </c>
      <c r="D226">
        <f t="shared" si="12"/>
        <v>0.31512662373888284</v>
      </c>
      <c r="E226">
        <f t="shared" si="13"/>
        <v>282.41788704487806</v>
      </c>
    </row>
    <row r="227" spans="1:5" x14ac:dyDescent="0.35">
      <c r="A227">
        <v>218</v>
      </c>
      <c r="B227">
        <f t="shared" si="14"/>
        <v>218</v>
      </c>
      <c r="C227">
        <f t="shared" si="15"/>
        <v>282.41788704487806</v>
      </c>
      <c r="D227">
        <f t="shared" si="12"/>
        <v>0.30970929751636617</v>
      </c>
      <c r="E227">
        <f t="shared" si="13"/>
        <v>282.72759634239441</v>
      </c>
    </row>
    <row r="228" spans="1:5" x14ac:dyDescent="0.35">
      <c r="A228">
        <v>219</v>
      </c>
      <c r="B228">
        <f t="shared" si="14"/>
        <v>219</v>
      </c>
      <c r="C228">
        <f t="shared" si="15"/>
        <v>282.72759634239441</v>
      </c>
      <c r="D228">
        <f t="shared" si="12"/>
        <v>0.30438039916381116</v>
      </c>
      <c r="E228">
        <f t="shared" si="13"/>
        <v>283.0319767415582</v>
      </c>
    </row>
    <row r="229" spans="1:5" x14ac:dyDescent="0.35">
      <c r="A229">
        <v>220</v>
      </c>
      <c r="B229">
        <f t="shared" si="14"/>
        <v>220</v>
      </c>
      <c r="C229">
        <f t="shared" si="15"/>
        <v>283.0319767415582</v>
      </c>
      <c r="D229">
        <f t="shared" si="12"/>
        <v>0.29913865597650613</v>
      </c>
      <c r="E229">
        <f t="shared" si="13"/>
        <v>283.33111539753469</v>
      </c>
    </row>
    <row r="230" spans="1:5" x14ac:dyDescent="0.35">
      <c r="A230">
        <v>221</v>
      </c>
      <c r="B230">
        <f t="shared" si="14"/>
        <v>221</v>
      </c>
      <c r="C230">
        <f t="shared" si="15"/>
        <v>283.33111539753469</v>
      </c>
      <c r="D230">
        <f t="shared" si="12"/>
        <v>0.29398280712947633</v>
      </c>
      <c r="E230">
        <f t="shared" si="13"/>
        <v>283.62509820466414</v>
      </c>
    </row>
    <row r="231" spans="1:5" x14ac:dyDescent="0.35">
      <c r="A231">
        <v>222</v>
      </c>
      <c r="B231">
        <f t="shared" si="14"/>
        <v>222</v>
      </c>
      <c r="C231">
        <f t="shared" si="15"/>
        <v>283.62509820466414</v>
      </c>
      <c r="D231">
        <f t="shared" si="12"/>
        <v>0.28891160383699588</v>
      </c>
      <c r="E231">
        <f t="shared" si="13"/>
        <v>283.91400980850113</v>
      </c>
    </row>
    <row r="232" spans="1:5" x14ac:dyDescent="0.35">
      <c r="A232">
        <v>223</v>
      </c>
      <c r="B232">
        <f t="shared" si="14"/>
        <v>223</v>
      </c>
      <c r="C232">
        <f t="shared" si="15"/>
        <v>283.91400980850113</v>
      </c>
      <c r="D232">
        <f t="shared" si="12"/>
        <v>0.28392380949701695</v>
      </c>
      <c r="E232">
        <f t="shared" si="13"/>
        <v>284.19793361799816</v>
      </c>
    </row>
    <row r="233" spans="1:5" x14ac:dyDescent="0.35">
      <c r="A233">
        <v>224</v>
      </c>
      <c r="B233">
        <f t="shared" si="14"/>
        <v>224</v>
      </c>
      <c r="C233">
        <f t="shared" si="15"/>
        <v>284.19793361799816</v>
      </c>
      <c r="D233">
        <f t="shared" si="12"/>
        <v>0.2790181998211399</v>
      </c>
      <c r="E233">
        <f t="shared" si="13"/>
        <v>284.47695181781933</v>
      </c>
    </row>
    <row r="234" spans="1:5" x14ac:dyDescent="0.35">
      <c r="A234">
        <v>225</v>
      </c>
      <c r="B234">
        <f t="shared" si="14"/>
        <v>225</v>
      </c>
      <c r="C234">
        <f t="shared" si="15"/>
        <v>284.47695181781933</v>
      </c>
      <c r="D234">
        <f t="shared" si="12"/>
        <v>0.27419356295075997</v>
      </c>
      <c r="E234">
        <f t="shared" si="13"/>
        <v>284.75114538077008</v>
      </c>
    </row>
    <row r="235" spans="1:5" x14ac:dyDescent="0.35">
      <c r="A235">
        <v>226</v>
      </c>
      <c r="B235">
        <f t="shared" si="14"/>
        <v>226</v>
      </c>
      <c r="C235">
        <f t="shared" si="15"/>
        <v>284.75114538077008</v>
      </c>
      <c r="D235">
        <f t="shared" si="12"/>
        <v>0.26944869955998785</v>
      </c>
      <c r="E235">
        <f t="shared" si="13"/>
        <v>285.02059408033006</v>
      </c>
    </row>
    <row r="236" spans="1:5" x14ac:dyDescent="0.35">
      <c r="A236">
        <v>227</v>
      </c>
      <c r="B236">
        <f t="shared" si="14"/>
        <v>227</v>
      </c>
      <c r="C236">
        <f t="shared" si="15"/>
        <v>285.02059408033006</v>
      </c>
      <c r="D236">
        <f t="shared" si="12"/>
        <v>0.26478242294594628</v>
      </c>
      <c r="E236">
        <f t="shared" si="13"/>
        <v>285.28537650327598</v>
      </c>
    </row>
    <row r="237" spans="1:5" x14ac:dyDescent="0.35">
      <c r="A237">
        <v>228</v>
      </c>
      <c r="B237">
        <f t="shared" si="14"/>
        <v>228</v>
      </c>
      <c r="C237">
        <f t="shared" si="15"/>
        <v>285.28537650327598</v>
      </c>
      <c r="D237">
        <f t="shared" si="12"/>
        <v>0.26019355910699898</v>
      </c>
      <c r="E237">
        <f t="shared" si="13"/>
        <v>285.54557006238298</v>
      </c>
    </row>
    <row r="238" spans="1:5" x14ac:dyDescent="0.35">
      <c r="A238">
        <v>229</v>
      </c>
      <c r="B238">
        <f t="shared" si="14"/>
        <v>229</v>
      </c>
      <c r="C238">
        <f t="shared" si="15"/>
        <v>285.54557006238298</v>
      </c>
      <c r="D238">
        <f t="shared" si="12"/>
        <v>0.25568094680946074</v>
      </c>
      <c r="E238">
        <f t="shared" si="13"/>
        <v>285.80125100919241</v>
      </c>
    </row>
    <row r="239" spans="1:5" x14ac:dyDescent="0.35">
      <c r="A239">
        <v>230</v>
      </c>
      <c r="B239">
        <f t="shared" si="14"/>
        <v>230</v>
      </c>
      <c r="C239">
        <f t="shared" si="15"/>
        <v>285.80125100919241</v>
      </c>
      <c r="D239">
        <f t="shared" si="12"/>
        <v>0.25124343764329748</v>
      </c>
      <c r="E239">
        <f t="shared" si="13"/>
        <v>286.05249444683574</v>
      </c>
    </row>
    <row r="240" spans="1:5" x14ac:dyDescent="0.35">
      <c r="A240">
        <v>231</v>
      </c>
      <c r="B240">
        <f t="shared" si="14"/>
        <v>231</v>
      </c>
      <c r="C240">
        <f t="shared" si="15"/>
        <v>286.05249444683574</v>
      </c>
      <c r="D240">
        <f t="shared" si="12"/>
        <v>0.24687989606736621</v>
      </c>
      <c r="E240">
        <f t="shared" si="13"/>
        <v>286.29937434290309</v>
      </c>
    </row>
    <row r="241" spans="1:5" x14ac:dyDescent="0.35">
      <c r="A241">
        <v>232</v>
      </c>
      <c r="B241">
        <f t="shared" si="14"/>
        <v>232</v>
      </c>
      <c r="C241">
        <f t="shared" si="15"/>
        <v>286.29937434290309</v>
      </c>
      <c r="D241">
        <f t="shared" si="12"/>
        <v>0.24258919944463786</v>
      </c>
      <c r="E241">
        <f t="shared" si="13"/>
        <v>286.54196354234773</v>
      </c>
    </row>
    <row r="242" spans="1:5" x14ac:dyDescent="0.35">
      <c r="A242">
        <v>233</v>
      </c>
      <c r="B242">
        <f t="shared" si="14"/>
        <v>233</v>
      </c>
      <c r="C242">
        <f t="shared" si="15"/>
        <v>286.54196354234773</v>
      </c>
      <c r="D242">
        <f t="shared" si="12"/>
        <v>0.23837023806790131</v>
      </c>
      <c r="E242">
        <f t="shared" si="13"/>
        <v>286.78033378041562</v>
      </c>
    </row>
    <row r="243" spans="1:5" x14ac:dyDescent="0.35">
      <c r="A243">
        <v>234</v>
      </c>
      <c r="B243">
        <f t="shared" si="14"/>
        <v>234</v>
      </c>
      <c r="C243">
        <f t="shared" si="15"/>
        <v>286.78033378041562</v>
      </c>
      <c r="D243">
        <f t="shared" si="12"/>
        <v>0.23422191517640029</v>
      </c>
      <c r="E243">
        <f t="shared" si="13"/>
        <v>287.01455569559204</v>
      </c>
    </row>
    <row r="244" spans="1:5" x14ac:dyDescent="0.35">
      <c r="A244">
        <v>235</v>
      </c>
      <c r="B244">
        <f t="shared" si="14"/>
        <v>235</v>
      </c>
      <c r="C244">
        <f t="shared" si="15"/>
        <v>287.01455569559204</v>
      </c>
      <c r="D244">
        <f t="shared" si="12"/>
        <v>0.23014314696383736</v>
      </c>
      <c r="E244">
        <f t="shared" si="13"/>
        <v>287.24469884255586</v>
      </c>
    </row>
    <row r="245" spans="1:5" x14ac:dyDescent="0.35">
      <c r="A245">
        <v>236</v>
      </c>
      <c r="B245">
        <f t="shared" si="14"/>
        <v>236</v>
      </c>
      <c r="C245">
        <f t="shared" si="15"/>
        <v>287.24469884255586</v>
      </c>
      <c r="D245">
        <f t="shared" si="12"/>
        <v>0.22613286257816434</v>
      </c>
      <c r="E245">
        <f t="shared" si="13"/>
        <v>287.470831705134</v>
      </c>
    </row>
    <row r="246" spans="1:5" x14ac:dyDescent="0.35">
      <c r="A246">
        <v>237</v>
      </c>
      <c r="B246">
        <f t="shared" si="14"/>
        <v>237</v>
      </c>
      <c r="C246">
        <f t="shared" si="15"/>
        <v>287.470831705134</v>
      </c>
      <c r="D246">
        <f t="shared" si="12"/>
        <v>0.22219000411358297</v>
      </c>
      <c r="E246">
        <f t="shared" si="13"/>
        <v>287.6930217092476</v>
      </c>
    </row>
    <row r="247" spans="1:5" x14ac:dyDescent="0.35">
      <c r="A247">
        <v>238</v>
      </c>
      <c r="B247">
        <f t="shared" si="14"/>
        <v>238</v>
      </c>
      <c r="C247">
        <f t="shared" si="15"/>
        <v>287.6930217092476</v>
      </c>
      <c r="D247">
        <f t="shared" si="12"/>
        <v>0.21831352659512787</v>
      </c>
      <c r="E247">
        <f t="shared" si="13"/>
        <v>287.91133523584273</v>
      </c>
    </row>
    <row r="248" spans="1:5" x14ac:dyDescent="0.35">
      <c r="A248">
        <v>239</v>
      </c>
      <c r="B248">
        <f t="shared" si="14"/>
        <v>239</v>
      </c>
      <c r="C248">
        <f t="shared" si="15"/>
        <v>287.91133523584273</v>
      </c>
      <c r="D248">
        <f t="shared" si="12"/>
        <v>0.21450239795621021</v>
      </c>
      <c r="E248">
        <f t="shared" si="13"/>
        <v>288.12583763379894</v>
      </c>
    </row>
    <row r="249" spans="1:5" x14ac:dyDescent="0.35">
      <c r="A249">
        <v>240</v>
      </c>
      <c r="B249">
        <f t="shared" si="14"/>
        <v>240</v>
      </c>
      <c r="C249">
        <f t="shared" si="15"/>
        <v>288.12583763379894</v>
      </c>
      <c r="D249">
        <f t="shared" si="12"/>
        <v>0.21075559900950763</v>
      </c>
      <c r="E249">
        <f t="shared" si="13"/>
        <v>288.33659323280847</v>
      </c>
    </row>
    <row r="250" spans="1:5" x14ac:dyDescent="0.35">
      <c r="A250">
        <v>241</v>
      </c>
      <c r="B250">
        <f t="shared" si="14"/>
        <v>241</v>
      </c>
      <c r="C250">
        <f t="shared" si="15"/>
        <v>288.33659323280847</v>
      </c>
      <c r="D250">
        <f t="shared" si="12"/>
        <v>0.2070721234115209</v>
      </c>
      <c r="E250">
        <f t="shared" si="13"/>
        <v>288.54366535622</v>
      </c>
    </row>
    <row r="251" spans="1:5" x14ac:dyDescent="0.35">
      <c r="A251">
        <v>242</v>
      </c>
      <c r="B251">
        <f t="shared" si="14"/>
        <v>242</v>
      </c>
      <c r="C251">
        <f t="shared" si="15"/>
        <v>288.54366535622</v>
      </c>
      <c r="D251">
        <f t="shared" si="12"/>
        <v>0.20345097762115585</v>
      </c>
      <c r="E251">
        <f t="shared" si="13"/>
        <v>288.74711633384118</v>
      </c>
    </row>
    <row r="252" spans="1:5" x14ac:dyDescent="0.35">
      <c r="A252">
        <v>243</v>
      </c>
      <c r="B252">
        <f t="shared" si="14"/>
        <v>243</v>
      </c>
      <c r="C252">
        <f t="shared" si="15"/>
        <v>288.74711633384118</v>
      </c>
      <c r="D252">
        <f t="shared" si="12"/>
        <v>0.1998911808526348</v>
      </c>
      <c r="E252">
        <f t="shared" si="13"/>
        <v>288.94700751469384</v>
      </c>
    </row>
    <row r="253" spans="1:5" x14ac:dyDescent="0.35">
      <c r="A253">
        <v>244</v>
      </c>
      <c r="B253">
        <f t="shared" si="14"/>
        <v>244</v>
      </c>
      <c r="C253">
        <f t="shared" si="15"/>
        <v>288.94700751469384</v>
      </c>
      <c r="D253">
        <f t="shared" si="12"/>
        <v>0.19639176502306541</v>
      </c>
      <c r="E253">
        <f t="shared" si="13"/>
        <v>289.1433992797169</v>
      </c>
    </row>
    <row r="254" spans="1:5" x14ac:dyDescent="0.35">
      <c r="A254">
        <v>245</v>
      </c>
      <c r="B254">
        <f t="shared" si="14"/>
        <v>245</v>
      </c>
      <c r="C254">
        <f t="shared" si="15"/>
        <v>289.1433992797169</v>
      </c>
      <c r="D254">
        <f t="shared" si="12"/>
        <v>0.19295177469496239</v>
      </c>
      <c r="E254">
        <f t="shared" si="13"/>
        <v>289.33635105441186</v>
      </c>
    </row>
    <row r="255" spans="1:5" x14ac:dyDescent="0.35">
      <c r="A255">
        <v>246</v>
      </c>
      <c r="B255">
        <f t="shared" si="14"/>
        <v>246</v>
      </c>
      <c r="C255">
        <f t="shared" si="15"/>
        <v>289.33635105441186</v>
      </c>
      <c r="D255">
        <f t="shared" si="12"/>
        <v>0.18957026701399371</v>
      </c>
      <c r="E255">
        <f t="shared" si="13"/>
        <v>289.52592132142587</v>
      </c>
    </row>
    <row r="256" spans="1:5" x14ac:dyDescent="0.35">
      <c r="A256">
        <v>247</v>
      </c>
      <c r="B256">
        <f t="shared" si="14"/>
        <v>247</v>
      </c>
      <c r="C256">
        <f t="shared" si="15"/>
        <v>289.52592132142587</v>
      </c>
      <c r="D256">
        <f t="shared" si="12"/>
        <v>0.18624631164224453</v>
      </c>
      <c r="E256">
        <f t="shared" si="13"/>
        <v>289.71216763306813</v>
      </c>
    </row>
    <row r="257" spans="1:5" x14ac:dyDescent="0.35">
      <c r="A257">
        <v>248</v>
      </c>
      <c r="B257">
        <f t="shared" si="14"/>
        <v>248</v>
      </c>
      <c r="C257">
        <f t="shared" si="15"/>
        <v>289.71216763306813</v>
      </c>
      <c r="D257">
        <f t="shared" si="12"/>
        <v>0.18297899068726806</v>
      </c>
      <c r="E257">
        <f t="shared" si="13"/>
        <v>289.89514662375541</v>
      </c>
    </row>
    <row r="258" spans="1:5" x14ac:dyDescent="0.35">
      <c r="A258">
        <v>249</v>
      </c>
      <c r="B258">
        <f t="shared" si="14"/>
        <v>249</v>
      </c>
      <c r="C258">
        <f t="shared" si="15"/>
        <v>289.89514662375541</v>
      </c>
      <c r="D258">
        <f t="shared" si="12"/>
        <v>0.17976739862715541</v>
      </c>
      <c r="E258">
        <f t="shared" si="13"/>
        <v>290.07491402238259</v>
      </c>
    </row>
    <row r="259" spans="1:5" x14ac:dyDescent="0.35">
      <c r="A259">
        <v>250</v>
      </c>
      <c r="B259">
        <f t="shared" si="14"/>
        <v>250</v>
      </c>
      <c r="C259">
        <f t="shared" si="15"/>
        <v>290.07491402238259</v>
      </c>
      <c r="D259">
        <f t="shared" si="12"/>
        <v>0.17661064223187836</v>
      </c>
      <c r="E259">
        <f t="shared" si="13"/>
        <v>290.25152466461446</v>
      </c>
    </row>
    <row r="260" spans="1:5" x14ac:dyDescent="0.35">
      <c r="A260">
        <v>251</v>
      </c>
      <c r="B260">
        <f t="shared" si="14"/>
        <v>251</v>
      </c>
      <c r="C260">
        <f t="shared" si="15"/>
        <v>290.25152466461446</v>
      </c>
      <c r="D260">
        <f t="shared" si="12"/>
        <v>0.17350784048117082</v>
      </c>
      <c r="E260">
        <f t="shared" si="13"/>
        <v>290.42503250509566</v>
      </c>
    </row>
    <row r="261" spans="1:5" x14ac:dyDescent="0.35">
      <c r="A261">
        <v>252</v>
      </c>
      <c r="B261">
        <f t="shared" si="14"/>
        <v>252</v>
      </c>
      <c r="C261">
        <f t="shared" si="15"/>
        <v>290.42503250509566</v>
      </c>
      <c r="D261">
        <f t="shared" si="12"/>
        <v>0.17045812447911038</v>
      </c>
      <c r="E261">
        <f t="shared" si="13"/>
        <v>290.59549062957478</v>
      </c>
    </row>
    <row r="262" spans="1:5" x14ac:dyDescent="0.35">
      <c r="A262">
        <v>253</v>
      </c>
      <c r="B262">
        <f t="shared" si="14"/>
        <v>253</v>
      </c>
      <c r="C262">
        <f t="shared" si="15"/>
        <v>290.59549062957478</v>
      </c>
      <c r="D262">
        <f t="shared" si="12"/>
        <v>0.16746063736567296</v>
      </c>
      <c r="E262">
        <f t="shared" si="13"/>
        <v>290.76295126694043</v>
      </c>
    </row>
    <row r="263" spans="1:5" x14ac:dyDescent="0.35">
      <c r="A263">
        <v>254</v>
      </c>
      <c r="B263">
        <f t="shared" si="14"/>
        <v>254</v>
      </c>
      <c r="C263">
        <f t="shared" si="15"/>
        <v>290.76295126694043</v>
      </c>
      <c r="D263">
        <f t="shared" si="12"/>
        <v>0.16451453422545276</v>
      </c>
      <c r="E263">
        <f t="shared" si="13"/>
        <v>290.92746580116591</v>
      </c>
    </row>
    <row r="264" spans="1:5" x14ac:dyDescent="0.35">
      <c r="A264">
        <v>255</v>
      </c>
      <c r="B264">
        <f t="shared" si="14"/>
        <v>255</v>
      </c>
      <c r="C264">
        <f t="shared" si="15"/>
        <v>290.92746580116591</v>
      </c>
      <c r="D264">
        <f t="shared" si="12"/>
        <v>0.16161898199371263</v>
      </c>
      <c r="E264">
        <f t="shared" si="13"/>
        <v>291.08908478315965</v>
      </c>
    </row>
    <row r="265" spans="1:5" x14ac:dyDescent="0.35">
      <c r="A265">
        <v>256</v>
      </c>
      <c r="B265">
        <f t="shared" si="14"/>
        <v>256</v>
      </c>
      <c r="C265">
        <f t="shared" si="15"/>
        <v>291.08908478315965</v>
      </c>
      <c r="D265">
        <f t="shared" ref="D265:D328" si="16">$B$2 * POWER(C265,3/4) * (1 - POWER(C265/$B$4,1/4))</f>
        <v>0.15877315936002184</v>
      </c>
      <c r="E265">
        <f t="shared" ref="E265:E328" si="17">C265 + $B$3 * D265</f>
        <v>291.24785794251966</v>
      </c>
    </row>
    <row r="266" spans="1:5" x14ac:dyDescent="0.35">
      <c r="A266">
        <v>257</v>
      </c>
      <c r="B266">
        <f t="shared" ref="B266:B329" si="18">B265 + $B$3</f>
        <v>257</v>
      </c>
      <c r="C266">
        <f t="shared" ref="C266:C329" si="19">E265</f>
        <v>291.24785794251966</v>
      </c>
      <c r="D266">
        <f t="shared" si="16"/>
        <v>0.15597625666957798</v>
      </c>
      <c r="E266">
        <f t="shared" si="17"/>
        <v>291.40383419918925</v>
      </c>
    </row>
    <row r="267" spans="1:5" x14ac:dyDescent="0.35">
      <c r="A267">
        <v>258</v>
      </c>
      <c r="B267">
        <f t="shared" si="18"/>
        <v>258</v>
      </c>
      <c r="C267">
        <f t="shared" si="19"/>
        <v>291.40383419918925</v>
      </c>
      <c r="D267">
        <f t="shared" si="16"/>
        <v>0.1532274758224785</v>
      </c>
      <c r="E267">
        <f t="shared" si="17"/>
        <v>291.55706167501171</v>
      </c>
    </row>
    <row r="268" spans="1:5" x14ac:dyDescent="0.35">
      <c r="A268">
        <v>259</v>
      </c>
      <c r="B268">
        <f t="shared" si="18"/>
        <v>259</v>
      </c>
      <c r="C268">
        <f t="shared" si="19"/>
        <v>291.55706167501171</v>
      </c>
      <c r="D268">
        <f t="shared" si="16"/>
        <v>0.15052603017103891</v>
      </c>
      <c r="E268">
        <f t="shared" si="17"/>
        <v>291.70758770518273</v>
      </c>
    </row>
    <row r="269" spans="1:5" x14ac:dyDescent="0.35">
      <c r="A269">
        <v>260</v>
      </c>
      <c r="B269">
        <f t="shared" si="18"/>
        <v>260</v>
      </c>
      <c r="C269">
        <f t="shared" si="19"/>
        <v>291.70758770518273</v>
      </c>
      <c r="D269">
        <f t="shared" si="16"/>
        <v>0.14787114441533863</v>
      </c>
      <c r="E269">
        <f t="shared" si="17"/>
        <v>291.85545884959805</v>
      </c>
    </row>
    <row r="270" spans="1:5" x14ac:dyDescent="0.35">
      <c r="A270">
        <v>261</v>
      </c>
      <c r="B270">
        <f t="shared" si="18"/>
        <v>261</v>
      </c>
      <c r="C270">
        <f t="shared" si="19"/>
        <v>291.85545884959805</v>
      </c>
      <c r="D270">
        <f t="shared" si="16"/>
        <v>0.1452620544971798</v>
      </c>
      <c r="E270">
        <f t="shared" si="17"/>
        <v>292.0007209040952</v>
      </c>
    </row>
    <row r="271" spans="1:5" x14ac:dyDescent="0.35">
      <c r="A271">
        <v>262</v>
      </c>
      <c r="B271">
        <f t="shared" si="18"/>
        <v>262</v>
      </c>
      <c r="C271">
        <f t="shared" si="19"/>
        <v>292.0007209040952</v>
      </c>
      <c r="D271">
        <f t="shared" si="16"/>
        <v>0.14269800749253853</v>
      </c>
      <c r="E271">
        <f t="shared" si="17"/>
        <v>292.14341891158773</v>
      </c>
    </row>
    <row r="272" spans="1:5" x14ac:dyDescent="0.35">
      <c r="A272">
        <v>263</v>
      </c>
      <c r="B272">
        <f t="shared" si="18"/>
        <v>263</v>
      </c>
      <c r="C272">
        <f t="shared" si="19"/>
        <v>292.14341891158773</v>
      </c>
      <c r="D272">
        <f t="shared" si="16"/>
        <v>0.14017826150273147</v>
      </c>
      <c r="E272">
        <f t="shared" si="17"/>
        <v>292.28359717309047</v>
      </c>
    </row>
    <row r="273" spans="1:5" x14ac:dyDescent="0.35">
      <c r="A273">
        <v>264</v>
      </c>
      <c r="B273">
        <f t="shared" si="18"/>
        <v>264</v>
      </c>
      <c r="C273">
        <f t="shared" si="19"/>
        <v>292.28359717309047</v>
      </c>
      <c r="D273">
        <f t="shared" si="16"/>
        <v>0.13770208554435137</v>
      </c>
      <c r="E273">
        <f t="shared" si="17"/>
        <v>292.4212992586348</v>
      </c>
    </row>
    <row r="274" spans="1:5" x14ac:dyDescent="0.35">
      <c r="A274">
        <v>265</v>
      </c>
      <c r="B274">
        <f t="shared" si="18"/>
        <v>265</v>
      </c>
      <c r="C274">
        <f t="shared" si="19"/>
        <v>292.4212992586348</v>
      </c>
      <c r="D274">
        <f t="shared" si="16"/>
        <v>0.13526875943815095</v>
      </c>
      <c r="E274">
        <f t="shared" si="17"/>
        <v>292.55656801807294</v>
      </c>
    </row>
    <row r="275" spans="1:5" x14ac:dyDescent="0.35">
      <c r="A275">
        <v>266</v>
      </c>
      <c r="B275">
        <f t="shared" si="18"/>
        <v>266</v>
      </c>
      <c r="C275">
        <f t="shared" si="19"/>
        <v>292.55656801807294</v>
      </c>
      <c r="D275">
        <f t="shared" si="16"/>
        <v>0.13287757369699019</v>
      </c>
      <c r="E275">
        <f t="shared" si="17"/>
        <v>292.68944559176992</v>
      </c>
    </row>
    <row r="276" spans="1:5" x14ac:dyDescent="0.35">
      <c r="A276">
        <v>267</v>
      </c>
      <c r="B276">
        <f t="shared" si="18"/>
        <v>267</v>
      </c>
      <c r="C276">
        <f t="shared" si="19"/>
        <v>292.68944559176992</v>
      </c>
      <c r="D276">
        <f t="shared" si="16"/>
        <v>0.1305278294129357</v>
      </c>
      <c r="E276">
        <f t="shared" si="17"/>
        <v>292.81997342118285</v>
      </c>
    </row>
    <row r="277" spans="1:5" x14ac:dyDescent="0.35">
      <c r="A277">
        <v>268</v>
      </c>
      <c r="B277">
        <f t="shared" si="18"/>
        <v>268</v>
      </c>
      <c r="C277">
        <f t="shared" si="19"/>
        <v>292.81997342118285</v>
      </c>
      <c r="D277">
        <f t="shared" si="16"/>
        <v>0.12821883814366392</v>
      </c>
      <c r="E277">
        <f t="shared" si="17"/>
        <v>292.9481922593265</v>
      </c>
    </row>
    <row r="278" spans="1:5" x14ac:dyDescent="0.35">
      <c r="A278">
        <v>269</v>
      </c>
      <c r="B278">
        <f t="shared" si="18"/>
        <v>269</v>
      </c>
      <c r="C278">
        <f t="shared" si="19"/>
        <v>292.9481922593265</v>
      </c>
      <c r="D278">
        <f t="shared" si="16"/>
        <v>0.1259499217982335</v>
      </c>
      <c r="E278">
        <f t="shared" si="17"/>
        <v>293.07414218112473</v>
      </c>
    </row>
    <row r="279" spans="1:5" x14ac:dyDescent="0.35">
      <c r="A279">
        <v>270</v>
      </c>
      <c r="B279">
        <f t="shared" si="18"/>
        <v>270</v>
      </c>
      <c r="C279">
        <f t="shared" si="19"/>
        <v>293.07414218112473</v>
      </c>
      <c r="D279">
        <f t="shared" si="16"/>
        <v>0.12372041252236764</v>
      </c>
      <c r="E279">
        <f t="shared" si="17"/>
        <v>293.19786259364707</v>
      </c>
    </row>
    <row r="280" spans="1:5" x14ac:dyDescent="0.35">
      <c r="A280">
        <v>271</v>
      </c>
      <c r="B280">
        <f t="shared" si="18"/>
        <v>271</v>
      </c>
      <c r="C280">
        <f t="shared" si="19"/>
        <v>293.19786259364707</v>
      </c>
      <c r="D280">
        <f t="shared" si="16"/>
        <v>0.1215296525833055</v>
      </c>
      <c r="E280">
        <f t="shared" si="17"/>
        <v>293.31939224623039</v>
      </c>
    </row>
    <row r="281" spans="1:5" x14ac:dyDescent="0.35">
      <c r="A281">
        <v>272</v>
      </c>
      <c r="B281">
        <f t="shared" si="18"/>
        <v>272</v>
      </c>
      <c r="C281">
        <f t="shared" si="19"/>
        <v>293.31939224623039</v>
      </c>
      <c r="D281">
        <f t="shared" si="16"/>
        <v>0.11937699425433944</v>
      </c>
      <c r="E281">
        <f t="shared" si="17"/>
        <v>293.43876924048476</v>
      </c>
    </row>
    <row r="282" spans="1:5" x14ac:dyDescent="0.35">
      <c r="A282">
        <v>273</v>
      </c>
      <c r="B282">
        <f t="shared" si="18"/>
        <v>273</v>
      </c>
      <c r="C282">
        <f t="shared" si="19"/>
        <v>293.43876924048476</v>
      </c>
      <c r="D282">
        <f t="shared" si="16"/>
        <v>0.11726179969911925</v>
      </c>
      <c r="E282">
        <f t="shared" si="17"/>
        <v>293.55603104018388</v>
      </c>
    </row>
    <row r="283" spans="1:5" x14ac:dyDescent="0.35">
      <c r="A283">
        <v>274</v>
      </c>
      <c r="B283">
        <f t="shared" si="18"/>
        <v>274</v>
      </c>
      <c r="C283">
        <f t="shared" si="19"/>
        <v>293.55603104018388</v>
      </c>
      <c r="D283">
        <f t="shared" si="16"/>
        <v>0.11518344085580574</v>
      </c>
      <c r="E283">
        <f t="shared" si="17"/>
        <v>293.67121448103967</v>
      </c>
    </row>
    <row r="284" spans="1:5" x14ac:dyDescent="0.35">
      <c r="A284">
        <v>275</v>
      </c>
      <c r="B284">
        <f t="shared" si="18"/>
        <v>275</v>
      </c>
      <c r="C284">
        <f t="shared" si="19"/>
        <v>293.67121448103967</v>
      </c>
      <c r="D284">
        <f t="shared" si="16"/>
        <v>0.11314129932113463</v>
      </c>
      <c r="E284">
        <f t="shared" si="17"/>
        <v>293.78435578036078</v>
      </c>
    </row>
    <row r="285" spans="1:5" x14ac:dyDescent="0.35">
      <c r="A285">
        <v>276</v>
      </c>
      <c r="B285">
        <f t="shared" si="18"/>
        <v>276</v>
      </c>
      <c r="C285">
        <f t="shared" si="19"/>
        <v>293.78435578036078</v>
      </c>
      <c r="D285">
        <f t="shared" si="16"/>
        <v>0.11113476623450531</v>
      </c>
      <c r="E285">
        <f t="shared" si="17"/>
        <v>293.89549054659528</v>
      </c>
    </row>
    <row r="286" spans="1:5" x14ac:dyDescent="0.35">
      <c r="A286">
        <v>277</v>
      </c>
      <c r="B286">
        <f t="shared" si="18"/>
        <v>277</v>
      </c>
      <c r="C286">
        <f t="shared" si="19"/>
        <v>293.89549054659528</v>
      </c>
      <c r="D286">
        <f t="shared" si="16"/>
        <v>0.109163242162133</v>
      </c>
      <c r="E286">
        <f t="shared" si="17"/>
        <v>294.00465378875742</v>
      </c>
    </row>
    <row r="287" spans="1:5" x14ac:dyDescent="0.35">
      <c r="A287">
        <v>278</v>
      </c>
      <c r="B287">
        <f t="shared" si="18"/>
        <v>278</v>
      </c>
      <c r="C287">
        <f t="shared" si="19"/>
        <v>294.00465378875742</v>
      </c>
      <c r="D287">
        <f t="shared" si="16"/>
        <v>0.10722613698133782</v>
      </c>
      <c r="E287">
        <f t="shared" si="17"/>
        <v>294.11187992573878</v>
      </c>
    </row>
    <row r="288" spans="1:5" x14ac:dyDescent="0.35">
      <c r="A288">
        <v>279</v>
      </c>
      <c r="B288">
        <f t="shared" si="18"/>
        <v>279</v>
      </c>
      <c r="C288">
        <f t="shared" si="19"/>
        <v>294.11187992573878</v>
      </c>
      <c r="D288">
        <f t="shared" si="16"/>
        <v>0.1053228697650387</v>
      </c>
      <c r="E288">
        <f t="shared" si="17"/>
        <v>294.21720279550379</v>
      </c>
    </row>
    <row r="289" spans="1:5" x14ac:dyDescent="0.35">
      <c r="A289">
        <v>280</v>
      </c>
      <c r="B289">
        <f t="shared" si="18"/>
        <v>280</v>
      </c>
      <c r="C289">
        <f t="shared" si="19"/>
        <v>294.21720279550379</v>
      </c>
      <c r="D289">
        <f t="shared" si="16"/>
        <v>0.10345286866652785</v>
      </c>
      <c r="E289">
        <f t="shared" si="17"/>
        <v>294.32065566417032</v>
      </c>
    </row>
    <row r="290" spans="1:5" x14ac:dyDescent="0.35">
      <c r="A290">
        <v>281</v>
      </c>
      <c r="B290">
        <f t="shared" si="18"/>
        <v>281</v>
      </c>
      <c r="C290">
        <f t="shared" si="19"/>
        <v>294.32065566417032</v>
      </c>
      <c r="D290">
        <f t="shared" si="16"/>
        <v>0.1016155708045402</v>
      </c>
      <c r="E290">
        <f t="shared" si="17"/>
        <v>294.42227123497486</v>
      </c>
    </row>
    <row r="291" spans="1:5" x14ac:dyDescent="0.35">
      <c r="A291">
        <v>282</v>
      </c>
      <c r="B291">
        <f t="shared" si="18"/>
        <v>282</v>
      </c>
      <c r="C291">
        <f t="shared" si="19"/>
        <v>294.42227123497486</v>
      </c>
      <c r="D291">
        <f t="shared" si="16"/>
        <v>9.9810422148720435E-2</v>
      </c>
      <c r="E291">
        <f t="shared" si="17"/>
        <v>294.52208165712358</v>
      </c>
    </row>
    <row r="292" spans="1:5" x14ac:dyDescent="0.35">
      <c r="A292">
        <v>283</v>
      </c>
      <c r="B292">
        <f t="shared" si="18"/>
        <v>283</v>
      </c>
      <c r="C292">
        <f t="shared" si="19"/>
        <v>294.52208165712358</v>
      </c>
      <c r="D292">
        <f t="shared" si="16"/>
        <v>9.8036877405517989E-2</v>
      </c>
      <c r="E292">
        <f t="shared" si="17"/>
        <v>294.62011853452907</v>
      </c>
    </row>
    <row r="293" spans="1:5" x14ac:dyDescent="0.35">
      <c r="A293">
        <v>284</v>
      </c>
      <c r="B293">
        <f t="shared" si="18"/>
        <v>284</v>
      </c>
      <c r="C293">
        <f t="shared" si="19"/>
        <v>294.62011853452907</v>
      </c>
      <c r="D293">
        <f t="shared" si="16"/>
        <v>9.6294399904546815E-2</v>
      </c>
      <c r="E293">
        <f t="shared" si="17"/>
        <v>294.71641293443361</v>
      </c>
    </row>
    <row r="294" spans="1:5" x14ac:dyDescent="0.35">
      <c r="A294">
        <v>285</v>
      </c>
      <c r="B294">
        <f t="shared" si="18"/>
        <v>285</v>
      </c>
      <c r="C294">
        <f t="shared" si="19"/>
        <v>294.71641293443361</v>
      </c>
      <c r="D294">
        <f t="shared" si="16"/>
        <v>9.4582461485481051E-2</v>
      </c>
      <c r="E294">
        <f t="shared" si="17"/>
        <v>294.81099539591906</v>
      </c>
    </row>
    <row r="295" spans="1:5" x14ac:dyDescent="0.35">
      <c r="A295">
        <v>286</v>
      </c>
      <c r="B295">
        <f t="shared" si="18"/>
        <v>286</v>
      </c>
      <c r="C295">
        <f t="shared" si="19"/>
        <v>294.81099539591906</v>
      </c>
      <c r="D295">
        <f t="shared" si="16"/>
        <v>9.2900542385491586E-2</v>
      </c>
      <c r="E295">
        <f t="shared" si="17"/>
        <v>294.90389593830457</v>
      </c>
    </row>
    <row r="296" spans="1:5" x14ac:dyDescent="0.35">
      <c r="A296">
        <v>287</v>
      </c>
      <c r="B296">
        <f t="shared" si="18"/>
        <v>287</v>
      </c>
      <c r="C296">
        <f t="shared" si="19"/>
        <v>294.90389593830457</v>
      </c>
      <c r="D296">
        <f t="shared" si="16"/>
        <v>9.1248131127329435E-2</v>
      </c>
      <c r="E296">
        <f t="shared" si="17"/>
        <v>294.99514406943189</v>
      </c>
    </row>
    <row r="297" spans="1:5" x14ac:dyDescent="0.35">
      <c r="A297">
        <v>288</v>
      </c>
      <c r="B297">
        <f t="shared" si="18"/>
        <v>288</v>
      </c>
      <c r="C297">
        <f t="shared" si="19"/>
        <v>294.99514406943189</v>
      </c>
      <c r="D297">
        <f t="shared" si="16"/>
        <v>8.9624724408011613E-2</v>
      </c>
      <c r="E297">
        <f t="shared" si="17"/>
        <v>295.08476879383988</v>
      </c>
    </row>
    <row r="298" spans="1:5" x14ac:dyDescent="0.35">
      <c r="A298">
        <v>289</v>
      </c>
      <c r="B298">
        <f t="shared" si="18"/>
        <v>289</v>
      </c>
      <c r="C298">
        <f t="shared" si="19"/>
        <v>295.08476879383988</v>
      </c>
      <c r="D298">
        <f t="shared" si="16"/>
        <v>8.8029826988201429E-2</v>
      </c>
      <c r="E298">
        <f t="shared" si="17"/>
        <v>295.17279862082808</v>
      </c>
    </row>
    <row r="299" spans="1:5" x14ac:dyDescent="0.35">
      <c r="A299">
        <v>290</v>
      </c>
      <c r="B299">
        <f t="shared" si="18"/>
        <v>290</v>
      </c>
      <c r="C299">
        <f t="shared" si="19"/>
        <v>295.17279862082808</v>
      </c>
      <c r="D299">
        <f t="shared" si="16"/>
        <v>8.6462951582321049E-2</v>
      </c>
      <c r="E299">
        <f t="shared" si="17"/>
        <v>295.25926157241042</v>
      </c>
    </row>
    <row r="300" spans="1:5" x14ac:dyDescent="0.35">
      <c r="A300">
        <v>291</v>
      </c>
      <c r="B300">
        <f t="shared" si="18"/>
        <v>291</v>
      </c>
      <c r="C300">
        <f t="shared" si="19"/>
        <v>295.25926157241042</v>
      </c>
      <c r="D300">
        <f t="shared" si="16"/>
        <v>8.49236187493706E-2</v>
      </c>
      <c r="E300">
        <f t="shared" si="17"/>
        <v>295.3441851911598</v>
      </c>
    </row>
    <row r="301" spans="1:5" x14ac:dyDescent="0.35">
      <c r="A301">
        <v>292</v>
      </c>
      <c r="B301">
        <f t="shared" si="18"/>
        <v>292</v>
      </c>
      <c r="C301">
        <f t="shared" si="19"/>
        <v>295.3441851911598</v>
      </c>
      <c r="D301">
        <f t="shared" si="16"/>
        <v>8.3411356784554316E-2</v>
      </c>
      <c r="E301">
        <f t="shared" si="17"/>
        <v>295.42759654794435</v>
      </c>
    </row>
    <row r="302" spans="1:5" x14ac:dyDescent="0.35">
      <c r="A302">
        <v>293</v>
      </c>
      <c r="B302">
        <f t="shared" si="18"/>
        <v>293</v>
      </c>
      <c r="C302">
        <f t="shared" si="19"/>
        <v>295.42759654794435</v>
      </c>
      <c r="D302">
        <f t="shared" si="16"/>
        <v>8.1925701611687135E-2</v>
      </c>
      <c r="E302">
        <f t="shared" si="17"/>
        <v>295.50952224955603</v>
      </c>
    </row>
    <row r="303" spans="1:5" x14ac:dyDescent="0.35">
      <c r="A303">
        <v>294</v>
      </c>
      <c r="B303">
        <f t="shared" si="18"/>
        <v>294</v>
      </c>
      <c r="C303">
        <f t="shared" si="19"/>
        <v>295.50952224955603</v>
      </c>
      <c r="D303">
        <f t="shared" si="16"/>
        <v>8.0466196676439602E-2</v>
      </c>
      <c r="E303">
        <f t="shared" si="17"/>
        <v>295.58998844623244</v>
      </c>
    </row>
    <row r="304" spans="1:5" x14ac:dyDescent="0.35">
      <c r="A304">
        <v>295</v>
      </c>
      <c r="B304">
        <f t="shared" si="18"/>
        <v>295</v>
      </c>
      <c r="C304">
        <f t="shared" si="19"/>
        <v>295.58998844623244</v>
      </c>
      <c r="D304">
        <f t="shared" si="16"/>
        <v>7.9032392840416285E-2</v>
      </c>
      <c r="E304">
        <f t="shared" si="17"/>
        <v>295.66902083907286</v>
      </c>
    </row>
    <row r="305" spans="1:5" x14ac:dyDescent="0.35">
      <c r="A305">
        <v>296</v>
      </c>
      <c r="B305">
        <f t="shared" si="18"/>
        <v>296</v>
      </c>
      <c r="C305">
        <f t="shared" si="19"/>
        <v>295.66902083907286</v>
      </c>
      <c r="D305">
        <f t="shared" si="16"/>
        <v>7.7623848276133375E-2</v>
      </c>
      <c r="E305">
        <f t="shared" si="17"/>
        <v>295.74664468734898</v>
      </c>
    </row>
    <row r="306" spans="1:5" x14ac:dyDescent="0.35">
      <c r="A306">
        <v>297</v>
      </c>
      <c r="B306">
        <f t="shared" si="18"/>
        <v>297</v>
      </c>
      <c r="C306">
        <f t="shared" si="19"/>
        <v>295.74664468734898</v>
      </c>
      <c r="D306">
        <f t="shared" si="16"/>
        <v>7.6240128362853432E-2</v>
      </c>
      <c r="E306">
        <f t="shared" si="17"/>
        <v>295.8228848157118</v>
      </c>
    </row>
    <row r="307" spans="1:5" x14ac:dyDescent="0.35">
      <c r="A307">
        <v>298</v>
      </c>
      <c r="B307">
        <f t="shared" si="18"/>
        <v>298</v>
      </c>
      <c r="C307">
        <f t="shared" si="19"/>
        <v>295.8228848157118</v>
      </c>
      <c r="D307">
        <f t="shared" si="16"/>
        <v>7.4880805583358107E-2</v>
      </c>
      <c r="E307">
        <f t="shared" si="17"/>
        <v>295.89776562129515</v>
      </c>
    </row>
    <row r="308" spans="1:5" x14ac:dyDescent="0.35">
      <c r="A308">
        <v>299</v>
      </c>
      <c r="B308">
        <f t="shared" si="18"/>
        <v>299</v>
      </c>
      <c r="C308">
        <f t="shared" si="19"/>
        <v>295.89776562129515</v>
      </c>
      <c r="D308">
        <f t="shared" si="16"/>
        <v>7.3545459421639481E-2</v>
      </c>
      <c r="E308">
        <f t="shared" si="17"/>
        <v>295.97131108071682</v>
      </c>
    </row>
    <row r="309" spans="1:5" x14ac:dyDescent="0.35">
      <c r="A309">
        <v>300</v>
      </c>
      <c r="B309">
        <f t="shared" si="18"/>
        <v>300</v>
      </c>
      <c r="C309">
        <f t="shared" si="19"/>
        <v>295.97131108071682</v>
      </c>
      <c r="D309">
        <f t="shared" si="16"/>
        <v>7.2233676261525215E-2</v>
      </c>
      <c r="E309">
        <f t="shared" si="17"/>
        <v>296.04354475697835</v>
      </c>
    </row>
    <row r="310" spans="1:5" x14ac:dyDescent="0.35">
      <c r="A310">
        <v>301</v>
      </c>
      <c r="B310">
        <f t="shared" si="18"/>
        <v>301</v>
      </c>
      <c r="C310">
        <f t="shared" si="19"/>
        <v>296.04354475697835</v>
      </c>
      <c r="D310">
        <f t="shared" si="16"/>
        <v>7.0945049286276027E-2</v>
      </c>
      <c r="E310">
        <f t="shared" si="17"/>
        <v>296.1144898062646</v>
      </c>
    </row>
    <row r="311" spans="1:5" x14ac:dyDescent="0.35">
      <c r="A311">
        <v>302</v>
      </c>
      <c r="B311">
        <f t="shared" si="18"/>
        <v>302</v>
      </c>
      <c r="C311">
        <f t="shared" si="19"/>
        <v>296.1144898062646</v>
      </c>
      <c r="D311">
        <f t="shared" si="16"/>
        <v>6.9679178379146278E-2</v>
      </c>
      <c r="E311">
        <f t="shared" si="17"/>
        <v>296.18416898464375</v>
      </c>
    </row>
    <row r="312" spans="1:5" x14ac:dyDescent="0.35">
      <c r="A312">
        <v>303</v>
      </c>
      <c r="B312">
        <f t="shared" si="18"/>
        <v>303</v>
      </c>
      <c r="C312">
        <f t="shared" si="19"/>
        <v>296.18416898464375</v>
      </c>
      <c r="D312">
        <f t="shared" si="16"/>
        <v>6.8435670024919584E-2</v>
      </c>
      <c r="E312">
        <f t="shared" si="17"/>
        <v>296.25260465466869</v>
      </c>
    </row>
    <row r="313" spans="1:5" x14ac:dyDescent="0.35">
      <c r="A313">
        <v>304</v>
      </c>
      <c r="B313">
        <f t="shared" si="18"/>
        <v>304</v>
      </c>
      <c r="C313">
        <f t="shared" si="19"/>
        <v>296.25260465466869</v>
      </c>
      <c r="D313">
        <f t="shared" si="16"/>
        <v>6.7214137212451286E-2</v>
      </c>
      <c r="E313">
        <f t="shared" si="17"/>
        <v>296.31981879188112</v>
      </c>
    </row>
    <row r="314" spans="1:5" x14ac:dyDescent="0.35">
      <c r="A314">
        <v>305</v>
      </c>
      <c r="B314">
        <f t="shared" si="18"/>
        <v>305</v>
      </c>
      <c r="C314">
        <f t="shared" si="19"/>
        <v>296.31981879188112</v>
      </c>
      <c r="D314">
        <f t="shared" si="16"/>
        <v>6.6014199338201726E-2</v>
      </c>
      <c r="E314">
        <f t="shared" si="17"/>
        <v>296.38583299121933</v>
      </c>
    </row>
    <row r="315" spans="1:5" x14ac:dyDescent="0.35">
      <c r="A315">
        <v>306</v>
      </c>
      <c r="B315">
        <f t="shared" si="18"/>
        <v>306</v>
      </c>
      <c r="C315">
        <f t="shared" si="19"/>
        <v>296.38583299121933</v>
      </c>
      <c r="D315">
        <f t="shared" si="16"/>
        <v>6.4835482110787324E-2</v>
      </c>
      <c r="E315">
        <f t="shared" si="17"/>
        <v>296.4506684733301</v>
      </c>
    </row>
    <row r="316" spans="1:5" x14ac:dyDescent="0.35">
      <c r="A316">
        <v>307</v>
      </c>
      <c r="B316">
        <f t="shared" si="18"/>
        <v>307</v>
      </c>
      <c r="C316">
        <f t="shared" si="19"/>
        <v>296.4506684733301</v>
      </c>
      <c r="D316">
        <f t="shared" si="16"/>
        <v>6.3677617456535121E-2</v>
      </c>
      <c r="E316">
        <f t="shared" si="17"/>
        <v>296.51434609078666</v>
      </c>
    </row>
    <row r="317" spans="1:5" x14ac:dyDescent="0.35">
      <c r="A317">
        <v>308</v>
      </c>
      <c r="B317">
        <f t="shared" si="18"/>
        <v>308</v>
      </c>
      <c r="C317">
        <f t="shared" si="19"/>
        <v>296.51434609078666</v>
      </c>
      <c r="D317">
        <f t="shared" si="16"/>
        <v>6.2540243426075587E-2</v>
      </c>
      <c r="E317">
        <f t="shared" si="17"/>
        <v>296.57688633421276</v>
      </c>
    </row>
    <row r="318" spans="1:5" x14ac:dyDescent="0.35">
      <c r="A318">
        <v>309</v>
      </c>
      <c r="B318">
        <f t="shared" si="18"/>
        <v>309</v>
      </c>
      <c r="C318">
        <f t="shared" si="19"/>
        <v>296.57688633421276</v>
      </c>
      <c r="D318">
        <f t="shared" si="16"/>
        <v>6.1423004101961047E-2</v>
      </c>
      <c r="E318">
        <f t="shared" si="17"/>
        <v>296.63830933831474</v>
      </c>
    </row>
    <row r="319" spans="1:5" x14ac:dyDescent="0.35">
      <c r="A319">
        <v>310</v>
      </c>
      <c r="B319">
        <f t="shared" si="18"/>
        <v>310</v>
      </c>
      <c r="C319">
        <f t="shared" si="19"/>
        <v>296.63830933831474</v>
      </c>
      <c r="D319">
        <f t="shared" si="16"/>
        <v>6.0325549507309749E-2</v>
      </c>
      <c r="E319">
        <f t="shared" si="17"/>
        <v>296.69863488782204</v>
      </c>
    </row>
    <row r="320" spans="1:5" x14ac:dyDescent="0.35">
      <c r="A320">
        <v>311</v>
      </c>
      <c r="B320">
        <f t="shared" si="18"/>
        <v>311</v>
      </c>
      <c r="C320">
        <f t="shared" si="19"/>
        <v>296.69863488782204</v>
      </c>
      <c r="D320">
        <f t="shared" si="16"/>
        <v>5.9247535515488739E-2</v>
      </c>
      <c r="E320">
        <f t="shared" si="17"/>
        <v>296.75788242333755</v>
      </c>
    </row>
    <row r="321" spans="1:5" x14ac:dyDescent="0.35">
      <c r="A321">
        <v>312</v>
      </c>
      <c r="B321">
        <f t="shared" si="18"/>
        <v>312</v>
      </c>
      <c r="C321">
        <f t="shared" si="19"/>
        <v>296.75788242333755</v>
      </c>
      <c r="D321">
        <f t="shared" si="16"/>
        <v>5.8188623760834446E-2</v>
      </c>
      <c r="E321">
        <f t="shared" si="17"/>
        <v>296.81607104709838</v>
      </c>
    </row>
    <row r="322" spans="1:5" x14ac:dyDescent="0.35">
      <c r="A322">
        <v>313</v>
      </c>
      <c r="B322">
        <f t="shared" si="18"/>
        <v>313</v>
      </c>
      <c r="C322">
        <f t="shared" si="19"/>
        <v>296.81607104709838</v>
      </c>
      <c r="D322">
        <f t="shared" si="16"/>
        <v>5.7148481550427628E-2</v>
      </c>
      <c r="E322">
        <f t="shared" si="17"/>
        <v>296.8732195286488</v>
      </c>
    </row>
    <row r="323" spans="1:5" x14ac:dyDescent="0.35">
      <c r="A323">
        <v>314</v>
      </c>
      <c r="B323">
        <f t="shared" si="18"/>
        <v>314</v>
      </c>
      <c r="C323">
        <f t="shared" si="19"/>
        <v>296.8732195286488</v>
      </c>
      <c r="D323">
        <f t="shared" si="16"/>
        <v>5.6126781776884592E-2</v>
      </c>
      <c r="E323">
        <f t="shared" si="17"/>
        <v>296.92934631042567</v>
      </c>
    </row>
    <row r="324" spans="1:5" x14ac:dyDescent="0.35">
      <c r="A324">
        <v>315</v>
      </c>
      <c r="B324">
        <f t="shared" si="18"/>
        <v>315</v>
      </c>
      <c r="C324">
        <f t="shared" si="19"/>
        <v>296.92934631042567</v>
      </c>
      <c r="D324">
        <f t="shared" si="16"/>
        <v>5.5123202832210484E-2</v>
      </c>
      <c r="E324">
        <f t="shared" si="17"/>
        <v>296.98446951325786</v>
      </c>
    </row>
    <row r="325" spans="1:5" x14ac:dyDescent="0.35">
      <c r="A325">
        <v>316</v>
      </c>
      <c r="B325">
        <f t="shared" si="18"/>
        <v>316</v>
      </c>
      <c r="C325">
        <f t="shared" si="19"/>
        <v>296.98446951325786</v>
      </c>
      <c r="D325">
        <f t="shared" si="16"/>
        <v>5.4137428522692016E-2</v>
      </c>
      <c r="E325">
        <f t="shared" si="17"/>
        <v>297.03860694178053</v>
      </c>
    </row>
    <row r="326" spans="1:5" x14ac:dyDescent="0.35">
      <c r="A326">
        <v>317</v>
      </c>
      <c r="B326">
        <f t="shared" si="18"/>
        <v>317</v>
      </c>
      <c r="C326">
        <f t="shared" si="19"/>
        <v>297.03860694178053</v>
      </c>
      <c r="D326">
        <f t="shared" si="16"/>
        <v>5.3169147984821093E-2</v>
      </c>
      <c r="E326">
        <f t="shared" si="17"/>
        <v>297.09177608976535</v>
      </c>
    </row>
    <row r="327" spans="1:5" x14ac:dyDescent="0.35">
      <c r="A327">
        <v>318</v>
      </c>
      <c r="B327">
        <f t="shared" si="18"/>
        <v>318</v>
      </c>
      <c r="C327">
        <f t="shared" si="19"/>
        <v>297.09177608976535</v>
      </c>
      <c r="D327">
        <f t="shared" si="16"/>
        <v>5.2218055602266555E-2</v>
      </c>
      <c r="E327">
        <f t="shared" si="17"/>
        <v>297.14399414536763</v>
      </c>
    </row>
    <row r="328" spans="1:5" x14ac:dyDescent="0.35">
      <c r="A328">
        <v>319</v>
      </c>
      <c r="B328">
        <f t="shared" si="18"/>
        <v>319</v>
      </c>
      <c r="C328">
        <f t="shared" si="19"/>
        <v>297.14399414536763</v>
      </c>
      <c r="D328">
        <f t="shared" si="16"/>
        <v>5.1283850923880374E-2</v>
      </c>
      <c r="E328">
        <f t="shared" si="17"/>
        <v>297.19527799629151</v>
      </c>
    </row>
    <row r="329" spans="1:5" x14ac:dyDescent="0.35">
      <c r="A329">
        <v>320</v>
      </c>
      <c r="B329">
        <f t="shared" si="18"/>
        <v>320</v>
      </c>
      <c r="C329">
        <f t="shared" si="19"/>
        <v>297.19527799629151</v>
      </c>
      <c r="D329">
        <f t="shared" ref="D329:D392" si="20">$B$2 * POWER(C329,3/4) * (1 - POWER(C329/$B$4,1/4))</f>
        <v>5.0366238582737428E-2</v>
      </c>
      <c r="E329">
        <f t="shared" ref="E329:E392" si="21">C329 + $B$3 * D329</f>
        <v>297.24564423487425</v>
      </c>
    </row>
    <row r="330" spans="1:5" x14ac:dyDescent="0.35">
      <c r="A330">
        <v>321</v>
      </c>
      <c r="B330">
        <f t="shared" ref="B330:B393" si="22">B329 + $B$3</f>
        <v>321</v>
      </c>
      <c r="C330">
        <f t="shared" ref="C330:C393" si="23">E329</f>
        <v>297.24564423487425</v>
      </c>
      <c r="D330">
        <f t="shared" si="20"/>
        <v>4.9464928216211151E-2</v>
      </c>
      <c r="E330">
        <f t="shared" si="21"/>
        <v>297.29510916309044</v>
      </c>
    </row>
    <row r="331" spans="1:5" x14ac:dyDescent="0.35">
      <c r="A331">
        <v>322</v>
      </c>
      <c r="B331">
        <f t="shared" si="22"/>
        <v>322</v>
      </c>
      <c r="C331">
        <f t="shared" si="23"/>
        <v>297.29510916309044</v>
      </c>
      <c r="D331">
        <f t="shared" si="20"/>
        <v>4.8579634387074487E-2</v>
      </c>
      <c r="E331">
        <f t="shared" si="21"/>
        <v>297.34368879747751</v>
      </c>
    </row>
    <row r="332" spans="1:5" x14ac:dyDescent="0.35">
      <c r="A332">
        <v>323</v>
      </c>
      <c r="B332">
        <f t="shared" si="22"/>
        <v>323</v>
      </c>
      <c r="C332">
        <f t="shared" si="23"/>
        <v>297.34368879747751</v>
      </c>
      <c r="D332">
        <f t="shared" si="20"/>
        <v>4.7710076505613562E-2</v>
      </c>
      <c r="E332">
        <f t="shared" si="21"/>
        <v>297.39139887398312</v>
      </c>
    </row>
    <row r="333" spans="1:5" x14ac:dyDescent="0.35">
      <c r="A333">
        <v>324</v>
      </c>
      <c r="B333">
        <f t="shared" si="22"/>
        <v>324</v>
      </c>
      <c r="C333">
        <f t="shared" si="23"/>
        <v>297.39139887398312</v>
      </c>
      <c r="D333">
        <f t="shared" si="20"/>
        <v>4.6855978752791627E-2</v>
      </c>
      <c r="E333">
        <f t="shared" si="21"/>
        <v>297.43825485273589</v>
      </c>
    </row>
    <row r="334" spans="1:5" x14ac:dyDescent="0.35">
      <c r="A334">
        <v>325</v>
      </c>
      <c r="B334">
        <f t="shared" si="22"/>
        <v>325</v>
      </c>
      <c r="C334">
        <f t="shared" si="23"/>
        <v>297.43825485273589</v>
      </c>
      <c r="D334">
        <f t="shared" si="20"/>
        <v>4.6017070004386082E-2</v>
      </c>
      <c r="E334">
        <f t="shared" si="21"/>
        <v>297.48427192274028</v>
      </c>
    </row>
    <row r="335" spans="1:5" x14ac:dyDescent="0.35">
      <c r="A335">
        <v>326</v>
      </c>
      <c r="B335">
        <f t="shared" si="22"/>
        <v>326</v>
      </c>
      <c r="C335">
        <f t="shared" si="23"/>
        <v>297.48427192274028</v>
      </c>
      <c r="D335">
        <f t="shared" si="20"/>
        <v>4.5193083756165327E-2</v>
      </c>
      <c r="E335">
        <f t="shared" si="21"/>
        <v>297.52946500649642</v>
      </c>
    </row>
    <row r="336" spans="1:5" x14ac:dyDescent="0.35">
      <c r="A336">
        <v>327</v>
      </c>
      <c r="B336">
        <f t="shared" si="22"/>
        <v>327</v>
      </c>
      <c r="C336">
        <f t="shared" si="23"/>
        <v>297.52946500649642</v>
      </c>
      <c r="D336">
        <f t="shared" si="20"/>
        <v>4.4383758050064531E-2</v>
      </c>
      <c r="E336">
        <f t="shared" si="21"/>
        <v>297.57384876454648</v>
      </c>
    </row>
    <row r="337" spans="1:5" x14ac:dyDescent="0.35">
      <c r="A337">
        <v>328</v>
      </c>
      <c r="B337">
        <f t="shared" si="22"/>
        <v>328</v>
      </c>
      <c r="C337">
        <f t="shared" si="23"/>
        <v>297.57384876454648</v>
      </c>
      <c r="D337">
        <f t="shared" si="20"/>
        <v>4.3588835401344679E-2</v>
      </c>
      <c r="E337">
        <f t="shared" si="21"/>
        <v>297.61743759994783</v>
      </c>
    </row>
    <row r="338" spans="1:5" x14ac:dyDescent="0.35">
      <c r="A338">
        <v>329</v>
      </c>
      <c r="B338">
        <f t="shared" si="22"/>
        <v>329</v>
      </c>
      <c r="C338">
        <f t="shared" si="23"/>
        <v>297.61743759994783</v>
      </c>
      <c r="D338">
        <f t="shared" si="20"/>
        <v>4.2808062726750716E-2</v>
      </c>
      <c r="E338">
        <f t="shared" si="21"/>
        <v>297.66024566267458</v>
      </c>
    </row>
    <row r="339" spans="1:5" x14ac:dyDescent="0.35">
      <c r="A339">
        <v>330</v>
      </c>
      <c r="B339">
        <f t="shared" si="22"/>
        <v>330</v>
      </c>
      <c r="C339">
        <f t="shared" si="23"/>
        <v>297.66024566267458</v>
      </c>
      <c r="D339">
        <f t="shared" si="20"/>
        <v>4.2041191273667337E-2</v>
      </c>
      <c r="E339">
        <f t="shared" si="21"/>
        <v>297.70228685394824</v>
      </c>
    </row>
    <row r="340" spans="1:5" x14ac:dyDescent="0.35">
      <c r="A340">
        <v>331</v>
      </c>
      <c r="B340">
        <f t="shared" si="22"/>
        <v>331</v>
      </c>
      <c r="C340">
        <f t="shared" si="23"/>
        <v>297.70228685394824</v>
      </c>
      <c r="D340">
        <f t="shared" si="20"/>
        <v>4.1287976550235521E-2</v>
      </c>
      <c r="E340">
        <f t="shared" si="21"/>
        <v>297.74357483049846</v>
      </c>
    </row>
    <row r="341" spans="1:5" x14ac:dyDescent="0.35">
      <c r="A341">
        <v>332</v>
      </c>
      <c r="B341">
        <f t="shared" si="22"/>
        <v>332</v>
      </c>
      <c r="C341">
        <f t="shared" si="23"/>
        <v>297.74357483049846</v>
      </c>
      <c r="D341">
        <f t="shared" si="20"/>
        <v>4.0548178256437667E-2</v>
      </c>
      <c r="E341">
        <f t="shared" si="21"/>
        <v>297.78412300875488</v>
      </c>
    </row>
    <row r="342" spans="1:5" x14ac:dyDescent="0.35">
      <c r="A342">
        <v>333</v>
      </c>
      <c r="B342">
        <f t="shared" si="22"/>
        <v>333</v>
      </c>
      <c r="C342">
        <f t="shared" si="23"/>
        <v>297.78412300875488</v>
      </c>
      <c r="D342">
        <f t="shared" si="20"/>
        <v>3.9821560216161386E-2</v>
      </c>
      <c r="E342">
        <f t="shared" si="21"/>
        <v>297.82394456897106</v>
      </c>
    </row>
    <row r="343" spans="1:5" x14ac:dyDescent="0.35">
      <c r="A343">
        <v>334</v>
      </c>
      <c r="B343">
        <f t="shared" si="22"/>
        <v>334</v>
      </c>
      <c r="C343">
        <f t="shared" si="23"/>
        <v>297.82394456897106</v>
      </c>
      <c r="D343">
        <f t="shared" si="20"/>
        <v>3.9107890310210065E-2</v>
      </c>
      <c r="E343">
        <f t="shared" si="21"/>
        <v>297.86305245928128</v>
      </c>
    </row>
    <row r="344" spans="1:5" x14ac:dyDescent="0.35">
      <c r="A344">
        <v>335</v>
      </c>
      <c r="B344">
        <f t="shared" si="22"/>
        <v>335</v>
      </c>
      <c r="C344">
        <f t="shared" si="23"/>
        <v>297.86305245928128</v>
      </c>
      <c r="D344">
        <f t="shared" si="20"/>
        <v>3.8406940410265537E-2</v>
      </c>
      <c r="E344">
        <f t="shared" si="21"/>
        <v>297.90145939969153</v>
      </c>
    </row>
    <row r="345" spans="1:5" x14ac:dyDescent="0.35">
      <c r="A345">
        <v>336</v>
      </c>
      <c r="B345">
        <f t="shared" si="22"/>
        <v>336</v>
      </c>
      <c r="C345">
        <f t="shared" si="23"/>
        <v>297.90145939969153</v>
      </c>
      <c r="D345">
        <f t="shared" si="20"/>
        <v>3.7718486313780109E-2</v>
      </c>
      <c r="E345">
        <f t="shared" si="21"/>
        <v>297.93917788600533</v>
      </c>
    </row>
    <row r="346" spans="1:5" x14ac:dyDescent="0.35">
      <c r="A346">
        <v>337</v>
      </c>
      <c r="B346">
        <f t="shared" si="22"/>
        <v>337</v>
      </c>
      <c r="C346">
        <f t="shared" si="23"/>
        <v>297.93917788600533</v>
      </c>
      <c r="D346">
        <f t="shared" si="20"/>
        <v>3.7042307679816824E-2</v>
      </c>
      <c r="E346">
        <f t="shared" si="21"/>
        <v>297.97622019368515</v>
      </c>
    </row>
    <row r="347" spans="1:5" x14ac:dyDescent="0.35">
      <c r="A347">
        <v>338</v>
      </c>
      <c r="B347">
        <f t="shared" si="22"/>
        <v>338</v>
      </c>
      <c r="C347">
        <f t="shared" si="23"/>
        <v>297.97622019368515</v>
      </c>
      <c r="D347">
        <f t="shared" si="20"/>
        <v>3.637818796579538E-2</v>
      </c>
      <c r="E347">
        <f t="shared" si="21"/>
        <v>298.01259838165095</v>
      </c>
    </row>
    <row r="348" spans="1:5" x14ac:dyDescent="0.35">
      <c r="A348">
        <v>339</v>
      </c>
      <c r="B348">
        <f t="shared" si="22"/>
        <v>339</v>
      </c>
      <c r="C348">
        <f t="shared" si="23"/>
        <v>298.01259838165095</v>
      </c>
      <c r="D348">
        <f t="shared" si="20"/>
        <v>3.5725914365177219E-2</v>
      </c>
      <c r="E348">
        <f t="shared" si="21"/>
        <v>298.04832429601612</v>
      </c>
    </row>
    <row r="349" spans="1:5" x14ac:dyDescent="0.35">
      <c r="A349">
        <v>340</v>
      </c>
      <c r="B349">
        <f t="shared" si="22"/>
        <v>340</v>
      </c>
      <c r="C349">
        <f t="shared" si="23"/>
        <v>298.04832429601612</v>
      </c>
      <c r="D349">
        <f t="shared" si="20"/>
        <v>3.5085277746024372E-2</v>
      </c>
      <c r="E349">
        <f t="shared" si="21"/>
        <v>298.08340957376214</v>
      </c>
    </row>
    <row r="350" spans="1:5" x14ac:dyDescent="0.35">
      <c r="A350">
        <v>341</v>
      </c>
      <c r="B350">
        <f t="shared" si="22"/>
        <v>341</v>
      </c>
      <c r="C350">
        <f t="shared" si="23"/>
        <v>298.08340957376214</v>
      </c>
      <c r="D350">
        <f t="shared" si="20"/>
        <v>3.4456072590492194E-2</v>
      </c>
      <c r="E350">
        <f t="shared" si="21"/>
        <v>298.11786564635264</v>
      </c>
    </row>
    <row r="351" spans="1:5" x14ac:dyDescent="0.35">
      <c r="A351">
        <v>342</v>
      </c>
      <c r="B351">
        <f t="shared" si="22"/>
        <v>342</v>
      </c>
      <c r="C351">
        <f t="shared" si="23"/>
        <v>298.11786564635264</v>
      </c>
      <c r="D351">
        <f t="shared" si="20"/>
        <v>3.3838096935178676E-2</v>
      </c>
      <c r="E351">
        <f t="shared" si="21"/>
        <v>298.15170374328784</v>
      </c>
    </row>
    <row r="352" spans="1:5" x14ac:dyDescent="0.35">
      <c r="A352">
        <v>343</v>
      </c>
      <c r="B352">
        <f t="shared" si="22"/>
        <v>343</v>
      </c>
      <c r="C352">
        <f t="shared" si="23"/>
        <v>298.15170374328784</v>
      </c>
      <c r="D352">
        <f t="shared" si="20"/>
        <v>3.3231152312378859E-2</v>
      </c>
      <c r="E352">
        <f t="shared" si="21"/>
        <v>298.18493489560024</v>
      </c>
    </row>
    <row r="353" spans="1:5" x14ac:dyDescent="0.35">
      <c r="A353">
        <v>344</v>
      </c>
      <c r="B353">
        <f t="shared" si="22"/>
        <v>344</v>
      </c>
      <c r="C353">
        <f t="shared" si="23"/>
        <v>298.18493489560024</v>
      </c>
      <c r="D353">
        <f t="shared" si="20"/>
        <v>3.2635043692198107E-2</v>
      </c>
      <c r="E353">
        <f t="shared" si="21"/>
        <v>298.21756993929245</v>
      </c>
    </row>
    <row r="354" spans="1:5" x14ac:dyDescent="0.35">
      <c r="A354">
        <v>345</v>
      </c>
      <c r="B354">
        <f t="shared" si="22"/>
        <v>345</v>
      </c>
      <c r="C354">
        <f t="shared" si="23"/>
        <v>298.21756993929245</v>
      </c>
      <c r="D354">
        <f t="shared" si="20"/>
        <v>3.2049579425522723E-2</v>
      </c>
      <c r="E354">
        <f t="shared" si="21"/>
        <v>298.24961951871796</v>
      </c>
    </row>
    <row r="355" spans="1:5" x14ac:dyDescent="0.35">
      <c r="A355">
        <v>346</v>
      </c>
      <c r="B355">
        <f t="shared" si="22"/>
        <v>346</v>
      </c>
      <c r="C355">
        <f t="shared" si="23"/>
        <v>298.24961951871796</v>
      </c>
      <c r="D355">
        <f t="shared" si="20"/>
        <v>3.1474571187861546E-2</v>
      </c>
      <c r="E355">
        <f t="shared" si="21"/>
        <v>298.28109408990582</v>
      </c>
    </row>
    <row r="356" spans="1:5" x14ac:dyDescent="0.35">
      <c r="A356">
        <v>347</v>
      </c>
      <c r="B356">
        <f t="shared" si="22"/>
        <v>347</v>
      </c>
      <c r="C356">
        <f t="shared" si="23"/>
        <v>298.28109408990582</v>
      </c>
      <c r="D356">
        <f t="shared" si="20"/>
        <v>3.090983392401038E-2</v>
      </c>
      <c r="E356">
        <f t="shared" si="21"/>
        <v>298.31200392382982</v>
      </c>
    </row>
    <row r="357" spans="1:5" x14ac:dyDescent="0.35">
      <c r="A357">
        <v>348</v>
      </c>
      <c r="B357">
        <f t="shared" si="22"/>
        <v>348</v>
      </c>
      <c r="C357">
        <f t="shared" si="23"/>
        <v>298.31200392382982</v>
      </c>
      <c r="D357">
        <f t="shared" si="20"/>
        <v>3.0355185793568183E-2</v>
      </c>
      <c r="E357">
        <f t="shared" si="21"/>
        <v>298.34235910962337</v>
      </c>
    </row>
    <row r="358" spans="1:5" x14ac:dyDescent="0.35">
      <c r="A358">
        <v>349</v>
      </c>
      <c r="B358">
        <f t="shared" si="22"/>
        <v>349</v>
      </c>
      <c r="C358">
        <f t="shared" si="23"/>
        <v>298.34235910962337</v>
      </c>
      <c r="D358">
        <f t="shared" si="20"/>
        <v>2.9810448117266419E-2</v>
      </c>
      <c r="E358">
        <f t="shared" si="21"/>
        <v>298.37216955774062</v>
      </c>
    </row>
    <row r="359" spans="1:5" x14ac:dyDescent="0.35">
      <c r="A359">
        <v>350</v>
      </c>
      <c r="B359">
        <f t="shared" si="22"/>
        <v>350</v>
      </c>
      <c r="C359">
        <f t="shared" si="23"/>
        <v>298.37216955774062</v>
      </c>
      <c r="D359">
        <f t="shared" si="20"/>
        <v>2.9275445324112883E-2</v>
      </c>
      <c r="E359">
        <f t="shared" si="21"/>
        <v>298.40144500306474</v>
      </c>
    </row>
    <row r="360" spans="1:5" x14ac:dyDescent="0.35">
      <c r="A360">
        <v>351</v>
      </c>
      <c r="B360">
        <f t="shared" si="22"/>
        <v>351</v>
      </c>
      <c r="C360">
        <f t="shared" si="23"/>
        <v>298.40144500306474</v>
      </c>
      <c r="D360">
        <f t="shared" si="20"/>
        <v>2.87500048993631E-2</v>
      </c>
      <c r="E360">
        <f t="shared" si="21"/>
        <v>298.43019500796407</v>
      </c>
    </row>
    <row r="361" spans="1:5" x14ac:dyDescent="0.35">
      <c r="A361">
        <v>352</v>
      </c>
      <c r="B361">
        <f t="shared" si="22"/>
        <v>352</v>
      </c>
      <c r="C361">
        <f t="shared" si="23"/>
        <v>298.43019500796407</v>
      </c>
      <c r="D361">
        <f t="shared" si="20"/>
        <v>2.8233957333262776E-2</v>
      </c>
      <c r="E361">
        <f t="shared" si="21"/>
        <v>298.45842896529734</v>
      </c>
    </row>
    <row r="362" spans="1:5" x14ac:dyDescent="0.35">
      <c r="A362">
        <v>353</v>
      </c>
      <c r="B362">
        <f t="shared" si="22"/>
        <v>353</v>
      </c>
      <c r="C362">
        <f t="shared" si="23"/>
        <v>298.45842896529734</v>
      </c>
      <c r="D362">
        <f t="shared" si="20"/>
        <v>2.7727136070585599E-2</v>
      </c>
      <c r="E362">
        <f t="shared" si="21"/>
        <v>298.48615610136795</v>
      </c>
    </row>
    <row r="363" spans="1:5" x14ac:dyDescent="0.35">
      <c r="A363">
        <v>354</v>
      </c>
      <c r="B363">
        <f t="shared" si="22"/>
        <v>354</v>
      </c>
      <c r="C363">
        <f t="shared" si="23"/>
        <v>298.48615610136795</v>
      </c>
      <c r="D363">
        <f t="shared" si="20"/>
        <v>2.7229377460961594E-2</v>
      </c>
      <c r="E363">
        <f t="shared" si="21"/>
        <v>298.51338547882892</v>
      </c>
    </row>
    <row r="364" spans="1:5" x14ac:dyDescent="0.35">
      <c r="A364">
        <v>355</v>
      </c>
      <c r="B364">
        <f t="shared" si="22"/>
        <v>355</v>
      </c>
      <c r="C364">
        <f t="shared" si="23"/>
        <v>298.51338547882892</v>
      </c>
      <c r="D364">
        <f t="shared" si="20"/>
        <v>2.6740520709962044E-2</v>
      </c>
      <c r="E364">
        <f t="shared" si="21"/>
        <v>298.54012599953887</v>
      </c>
    </row>
    <row r="365" spans="1:5" x14ac:dyDescent="0.35">
      <c r="A365">
        <v>356</v>
      </c>
      <c r="B365">
        <f t="shared" si="22"/>
        <v>356</v>
      </c>
      <c r="C365">
        <f t="shared" si="23"/>
        <v>298.54012599953887</v>
      </c>
      <c r="D365">
        <f t="shared" si="20"/>
        <v>2.6260407830943151E-2</v>
      </c>
      <c r="E365">
        <f t="shared" si="21"/>
        <v>298.56638640736981</v>
      </c>
    </row>
    <row r="366" spans="1:5" x14ac:dyDescent="0.35">
      <c r="A366">
        <v>357</v>
      </c>
      <c r="B366">
        <f t="shared" si="22"/>
        <v>357</v>
      </c>
      <c r="C366">
        <f t="shared" si="23"/>
        <v>298.56638640736981</v>
      </c>
      <c r="D366">
        <f t="shared" si="20"/>
        <v>2.5788883597647229E-2</v>
      </c>
      <c r="E366">
        <f t="shared" si="21"/>
        <v>298.59217529096748</v>
      </c>
    </row>
    <row r="367" spans="1:5" x14ac:dyDescent="0.35">
      <c r="A367">
        <v>358</v>
      </c>
      <c r="B367">
        <f t="shared" si="22"/>
        <v>358</v>
      </c>
      <c r="C367">
        <f t="shared" si="23"/>
        <v>298.59217529096748</v>
      </c>
      <c r="D367">
        <f t="shared" si="20"/>
        <v>2.5325795497540916E-2</v>
      </c>
      <c r="E367">
        <f t="shared" si="21"/>
        <v>298.61750108646504</v>
      </c>
    </row>
    <row r="368" spans="1:5" x14ac:dyDescent="0.35">
      <c r="A368">
        <v>359</v>
      </c>
      <c r="B368">
        <f t="shared" si="22"/>
        <v>359</v>
      </c>
      <c r="C368">
        <f t="shared" si="23"/>
        <v>298.61750108646504</v>
      </c>
      <c r="D368">
        <f t="shared" si="20"/>
        <v>2.4870993685882102E-2</v>
      </c>
      <c r="E368">
        <f t="shared" si="21"/>
        <v>298.64237208015095</v>
      </c>
    </row>
    <row r="369" spans="1:5" x14ac:dyDescent="0.35">
      <c r="A369">
        <v>360</v>
      </c>
      <c r="B369">
        <f t="shared" si="22"/>
        <v>360</v>
      </c>
      <c r="C369">
        <f t="shared" si="23"/>
        <v>298.64237208015095</v>
      </c>
      <c r="D369">
        <f t="shared" si="20"/>
        <v>2.4424330940522748E-2</v>
      </c>
      <c r="E369">
        <f t="shared" si="21"/>
        <v>298.66679641109147</v>
      </c>
    </row>
    <row r="370" spans="1:5" x14ac:dyDescent="0.35">
      <c r="A370">
        <v>361</v>
      </c>
      <c r="B370">
        <f t="shared" si="22"/>
        <v>361</v>
      </c>
      <c r="C370">
        <f t="shared" si="23"/>
        <v>298.66679641109147</v>
      </c>
      <c r="D370">
        <f t="shared" si="20"/>
        <v>2.3985662617398252E-2</v>
      </c>
      <c r="E370">
        <f t="shared" si="21"/>
        <v>298.69078207370887</v>
      </c>
    </row>
    <row r="371" spans="1:5" x14ac:dyDescent="0.35">
      <c r="A371">
        <v>362</v>
      </c>
      <c r="B371">
        <f t="shared" si="22"/>
        <v>362</v>
      </c>
      <c r="C371">
        <f t="shared" si="23"/>
        <v>298.69078207370887</v>
      </c>
      <c r="D371">
        <f t="shared" si="20"/>
        <v>2.3554846606745866E-2</v>
      </c>
      <c r="E371">
        <f t="shared" si="21"/>
        <v>298.71433692031565</v>
      </c>
    </row>
    <row r="372" spans="1:5" x14ac:dyDescent="0.35">
      <c r="A372">
        <v>363</v>
      </c>
      <c r="B372">
        <f t="shared" si="22"/>
        <v>363</v>
      </c>
      <c r="C372">
        <f t="shared" si="23"/>
        <v>298.71433692031565</v>
      </c>
      <c r="D372">
        <f t="shared" si="20"/>
        <v>2.3131743290006931E-2</v>
      </c>
      <c r="E372">
        <f t="shared" si="21"/>
        <v>298.73746866360563</v>
      </c>
    </row>
    <row r="373" spans="1:5" x14ac:dyDescent="0.35">
      <c r="A373">
        <v>364</v>
      </c>
      <c r="B373">
        <f t="shared" si="22"/>
        <v>364</v>
      </c>
      <c r="C373">
        <f t="shared" si="23"/>
        <v>298.73746866360563</v>
      </c>
      <c r="D373">
        <f t="shared" si="20"/>
        <v>2.2716215497412172E-2</v>
      </c>
      <c r="E373">
        <f t="shared" si="21"/>
        <v>298.76018487910306</v>
      </c>
    </row>
    <row r="374" spans="1:5" x14ac:dyDescent="0.35">
      <c r="A374">
        <v>365</v>
      </c>
      <c r="B374">
        <f t="shared" si="22"/>
        <v>365</v>
      </c>
      <c r="C374">
        <f t="shared" si="23"/>
        <v>298.76018487910306</v>
      </c>
      <c r="D374">
        <f t="shared" si="20"/>
        <v>2.2308128466244692E-2</v>
      </c>
      <c r="E374">
        <f t="shared" si="21"/>
        <v>298.78249300756931</v>
      </c>
    </row>
    <row r="375" spans="1:5" x14ac:dyDescent="0.35">
      <c r="A375">
        <v>366</v>
      </c>
      <c r="B375">
        <f t="shared" si="22"/>
        <v>366</v>
      </c>
      <c r="C375">
        <f t="shared" si="23"/>
        <v>298.78249300756931</v>
      </c>
      <c r="D375">
        <f t="shared" si="20"/>
        <v>2.1907349799781966E-2</v>
      </c>
      <c r="E375">
        <f t="shared" si="21"/>
        <v>298.8044003573691</v>
      </c>
    </row>
    <row r="376" spans="1:5" x14ac:dyDescent="0.35">
      <c r="A376">
        <v>367</v>
      </c>
      <c r="B376">
        <f t="shared" si="22"/>
        <v>367</v>
      </c>
      <c r="C376">
        <f t="shared" si="23"/>
        <v>298.8044003573691</v>
      </c>
      <c r="D376">
        <f t="shared" si="20"/>
        <v>2.1513749426875194E-2</v>
      </c>
      <c r="E376">
        <f t="shared" si="21"/>
        <v>298.82591410679601</v>
      </c>
    </row>
    <row r="377" spans="1:5" x14ac:dyDescent="0.35">
      <c r="A377">
        <v>368</v>
      </c>
      <c r="B377">
        <f t="shared" si="22"/>
        <v>368</v>
      </c>
      <c r="C377">
        <f t="shared" si="23"/>
        <v>298.82591410679601</v>
      </c>
      <c r="D377">
        <f t="shared" si="20"/>
        <v>2.1127199562186033E-2</v>
      </c>
      <c r="E377">
        <f t="shared" si="21"/>
        <v>298.84704130635816</v>
      </c>
    </row>
    <row r="378" spans="1:5" x14ac:dyDescent="0.35">
      <c r="A378">
        <v>369</v>
      </c>
      <c r="B378">
        <f t="shared" si="22"/>
        <v>369</v>
      </c>
      <c r="C378">
        <f t="shared" si="23"/>
        <v>298.84704130635816</v>
      </c>
      <c r="D378">
        <f t="shared" si="20"/>
        <v>2.074757466707668E-2</v>
      </c>
      <c r="E378">
        <f t="shared" si="21"/>
        <v>298.86778888102526</v>
      </c>
    </row>
    <row r="379" spans="1:5" x14ac:dyDescent="0.35">
      <c r="A379">
        <v>370</v>
      </c>
      <c r="B379">
        <f t="shared" si="22"/>
        <v>370</v>
      </c>
      <c r="C379">
        <f t="shared" si="23"/>
        <v>298.86778888102526</v>
      </c>
      <c r="D379">
        <f t="shared" si="20"/>
        <v>2.0374751411108595E-2</v>
      </c>
      <c r="E379">
        <f t="shared" si="21"/>
        <v>298.88816363243637</v>
      </c>
    </row>
    <row r="380" spans="1:5" x14ac:dyDescent="0.35">
      <c r="A380">
        <v>371</v>
      </c>
      <c r="B380">
        <f t="shared" si="22"/>
        <v>371</v>
      </c>
      <c r="C380">
        <f t="shared" si="23"/>
        <v>298.88816363243637</v>
      </c>
      <c r="D380">
        <f t="shared" si="20"/>
        <v>2.0008608634183671E-2</v>
      </c>
      <c r="E380">
        <f t="shared" si="21"/>
        <v>298.90817224107053</v>
      </c>
    </row>
    <row r="381" spans="1:5" x14ac:dyDescent="0.35">
      <c r="A381">
        <v>372</v>
      </c>
      <c r="B381">
        <f t="shared" si="22"/>
        <v>372</v>
      </c>
      <c r="C381">
        <f t="shared" si="23"/>
        <v>298.90817224107053</v>
      </c>
      <c r="D381">
        <f t="shared" si="20"/>
        <v>1.9649027309287422E-2</v>
      </c>
      <c r="E381">
        <f t="shared" si="21"/>
        <v>298.92782126837983</v>
      </c>
    </row>
    <row r="382" spans="1:5" x14ac:dyDescent="0.35">
      <c r="A382">
        <v>373</v>
      </c>
      <c r="B382">
        <f t="shared" si="22"/>
        <v>373</v>
      </c>
      <c r="C382">
        <f t="shared" si="23"/>
        <v>298.92782126837983</v>
      </c>
      <c r="D382">
        <f t="shared" si="20"/>
        <v>1.9295890505841531E-2</v>
      </c>
      <c r="E382">
        <f t="shared" si="21"/>
        <v>298.94711715888565</v>
      </c>
    </row>
    <row r="383" spans="1:5" x14ac:dyDescent="0.35">
      <c r="A383">
        <v>374</v>
      </c>
      <c r="B383">
        <f t="shared" si="22"/>
        <v>374</v>
      </c>
      <c r="C383">
        <f t="shared" si="23"/>
        <v>298.94711715888565</v>
      </c>
      <c r="D383">
        <f t="shared" si="20"/>
        <v>1.8949083353650992E-2</v>
      </c>
      <c r="E383">
        <f t="shared" si="21"/>
        <v>298.96606624223932</v>
      </c>
    </row>
    <row r="384" spans="1:5" x14ac:dyDescent="0.35">
      <c r="A384">
        <v>375</v>
      </c>
      <c r="B384">
        <f t="shared" si="22"/>
        <v>375</v>
      </c>
      <c r="C384">
        <f t="shared" si="23"/>
        <v>298.96606624223932</v>
      </c>
      <c r="D384">
        <f t="shared" si="20"/>
        <v>1.8608493007443536E-2</v>
      </c>
      <c r="E384">
        <f t="shared" si="21"/>
        <v>298.98467473524676</v>
      </c>
    </row>
    <row r="385" spans="1:5" x14ac:dyDescent="0.35">
      <c r="A385">
        <v>376</v>
      </c>
      <c r="B385">
        <f t="shared" si="22"/>
        <v>376</v>
      </c>
      <c r="C385">
        <f t="shared" si="23"/>
        <v>298.98467473524676</v>
      </c>
      <c r="D385">
        <f t="shared" si="20"/>
        <v>1.827400861199106E-2</v>
      </c>
      <c r="E385">
        <f t="shared" si="21"/>
        <v>299.00294874385872</v>
      </c>
    </row>
    <row r="386" spans="1:5" x14ac:dyDescent="0.35">
      <c r="A386">
        <v>377</v>
      </c>
      <c r="B386">
        <f t="shared" si="22"/>
        <v>377</v>
      </c>
      <c r="C386">
        <f t="shared" si="23"/>
        <v>299.00294874385872</v>
      </c>
      <c r="D386">
        <f t="shared" si="20"/>
        <v>1.7945521267786257E-2</v>
      </c>
      <c r="E386">
        <f t="shared" si="21"/>
        <v>299.02089426512651</v>
      </c>
    </row>
    <row r="387" spans="1:5" x14ac:dyDescent="0.35">
      <c r="A387">
        <v>378</v>
      </c>
      <c r="B387">
        <f t="shared" si="22"/>
        <v>378</v>
      </c>
      <c r="C387">
        <f t="shared" si="23"/>
        <v>299.02089426512651</v>
      </c>
      <c r="D387">
        <f t="shared" si="20"/>
        <v>1.7622923997304724E-2</v>
      </c>
      <c r="E387">
        <f t="shared" si="21"/>
        <v>299.03851718912381</v>
      </c>
    </row>
    <row r="388" spans="1:5" x14ac:dyDescent="0.35">
      <c r="A388">
        <v>379</v>
      </c>
      <c r="B388">
        <f t="shared" si="22"/>
        <v>379</v>
      </c>
      <c r="C388">
        <f t="shared" si="23"/>
        <v>299.03851718912381</v>
      </c>
      <c r="D388">
        <f t="shared" si="20"/>
        <v>1.730611171180382E-2</v>
      </c>
      <c r="E388">
        <f t="shared" si="21"/>
        <v>299.05582330083558</v>
      </c>
    </row>
    <row r="389" spans="1:5" x14ac:dyDescent="0.35">
      <c r="A389">
        <v>380</v>
      </c>
      <c r="B389">
        <f t="shared" si="22"/>
        <v>380</v>
      </c>
      <c r="C389">
        <f t="shared" si="23"/>
        <v>299.05582330083558</v>
      </c>
      <c r="D389">
        <f t="shared" si="20"/>
        <v>1.6994981178683727E-2</v>
      </c>
      <c r="E389">
        <f t="shared" si="21"/>
        <v>299.07281828201428</v>
      </c>
    </row>
    <row r="390" spans="1:5" x14ac:dyDescent="0.35">
      <c r="A390">
        <v>381</v>
      </c>
      <c r="B390">
        <f t="shared" si="22"/>
        <v>381</v>
      </c>
      <c r="C390">
        <f t="shared" si="23"/>
        <v>299.07281828201428</v>
      </c>
      <c r="D390">
        <f t="shared" si="20"/>
        <v>1.6689430989370983E-2</v>
      </c>
      <c r="E390">
        <f t="shared" si="21"/>
        <v>299.08950771300363</v>
      </c>
    </row>
    <row r="391" spans="1:5" x14ac:dyDescent="0.35">
      <c r="A391">
        <v>382</v>
      </c>
      <c r="B391">
        <f t="shared" si="22"/>
        <v>382</v>
      </c>
      <c r="C391">
        <f t="shared" si="23"/>
        <v>299.08950771300363</v>
      </c>
      <c r="D391">
        <f t="shared" si="20"/>
        <v>1.638936152775201E-2</v>
      </c>
      <c r="E391">
        <f t="shared" si="21"/>
        <v>299.10589707453136</v>
      </c>
    </row>
    <row r="392" spans="1:5" x14ac:dyDescent="0.35">
      <c r="A392">
        <v>383</v>
      </c>
      <c r="B392">
        <f t="shared" si="22"/>
        <v>383</v>
      </c>
      <c r="C392">
        <f t="shared" si="23"/>
        <v>299.10589707453136</v>
      </c>
      <c r="D392">
        <f t="shared" si="20"/>
        <v>1.6094674939107538E-2</v>
      </c>
      <c r="E392">
        <f t="shared" si="21"/>
        <v>299.12199174947045</v>
      </c>
    </row>
    <row r="393" spans="1:5" x14ac:dyDescent="0.35">
      <c r="A393">
        <v>384</v>
      </c>
      <c r="B393">
        <f t="shared" si="22"/>
        <v>384</v>
      </c>
      <c r="C393">
        <f t="shared" si="23"/>
        <v>299.12199174947045</v>
      </c>
      <c r="D393">
        <f t="shared" ref="D393:D456" si="24">$B$2 * POWER(C393,3/4) * (1 - POWER(C393/$B$4,1/4))</f>
        <v>1.5805275099586815E-2</v>
      </c>
      <c r="E393">
        <f t="shared" ref="E393:E456" si="25">C393 + $B$3 * D393</f>
        <v>299.13779702457003</v>
      </c>
    </row>
    <row r="394" spans="1:5" x14ac:dyDescent="0.35">
      <c r="A394">
        <v>385</v>
      </c>
      <c r="B394">
        <f t="shared" ref="B394:B409" si="26">B393 + $B$3</f>
        <v>385</v>
      </c>
      <c r="C394">
        <f t="shared" ref="C394:C409" si="27">E393</f>
        <v>299.13779702457003</v>
      </c>
      <c r="D394">
        <f t="shared" si="24"/>
        <v>1.5521067586162618E-2</v>
      </c>
      <c r="E394">
        <f t="shared" si="25"/>
        <v>299.15331809215621</v>
      </c>
    </row>
    <row r="395" spans="1:5" x14ac:dyDescent="0.35">
      <c r="A395">
        <v>386</v>
      </c>
      <c r="B395">
        <f t="shared" si="26"/>
        <v>386</v>
      </c>
      <c r="C395">
        <f t="shared" si="27"/>
        <v>299.15331809215621</v>
      </c>
      <c r="D395">
        <f t="shared" si="24"/>
        <v>1.5241959647108441E-2</v>
      </c>
      <c r="E395">
        <f t="shared" si="25"/>
        <v>299.1685600518033</v>
      </c>
    </row>
    <row r="396" spans="1:5" x14ac:dyDescent="0.35">
      <c r="A396">
        <v>387</v>
      </c>
      <c r="B396">
        <f t="shared" si="26"/>
        <v>387</v>
      </c>
      <c r="C396">
        <f t="shared" si="27"/>
        <v>299.1685600518033</v>
      </c>
      <c r="D396">
        <f t="shared" si="24"/>
        <v>1.4967860172964765E-2</v>
      </c>
      <c r="E396">
        <f t="shared" si="25"/>
        <v>299.18352791197628</v>
      </c>
    </row>
    <row r="397" spans="1:5" x14ac:dyDescent="0.35">
      <c r="A397">
        <v>388</v>
      </c>
      <c r="B397">
        <f t="shared" si="26"/>
        <v>388</v>
      </c>
      <c r="C397">
        <f t="shared" si="27"/>
        <v>299.18352791197628</v>
      </c>
      <c r="D397">
        <f t="shared" si="24"/>
        <v>1.4698679667968522E-2</v>
      </c>
      <c r="E397">
        <f t="shared" si="25"/>
        <v>299.19822659164424</v>
      </c>
    </row>
    <row r="398" spans="1:5" x14ac:dyDescent="0.35">
      <c r="A398">
        <v>389</v>
      </c>
      <c r="B398">
        <f t="shared" si="26"/>
        <v>389</v>
      </c>
      <c r="C398">
        <f t="shared" si="27"/>
        <v>299.19822659164424</v>
      </c>
      <c r="D398">
        <f t="shared" si="24"/>
        <v>1.4434330221991573E-2</v>
      </c>
      <c r="E398">
        <f t="shared" si="25"/>
        <v>299.21266092186625</v>
      </c>
    </row>
    <row r="399" spans="1:5" x14ac:dyDescent="0.35">
      <c r="A399">
        <v>390</v>
      </c>
      <c r="B399">
        <f t="shared" si="26"/>
        <v>390</v>
      </c>
      <c r="C399">
        <f t="shared" si="27"/>
        <v>299.21266092186625</v>
      </c>
      <c r="D399">
        <f t="shared" si="24"/>
        <v>1.4174725482931048E-2</v>
      </c>
      <c r="E399">
        <f t="shared" si="25"/>
        <v>299.22683564734916</v>
      </c>
    </row>
    <row r="400" spans="1:5" x14ac:dyDescent="0.35">
      <c r="A400">
        <v>391</v>
      </c>
      <c r="B400">
        <f t="shared" si="26"/>
        <v>391</v>
      </c>
      <c r="C400">
        <f t="shared" si="27"/>
        <v>299.22683564734916</v>
      </c>
      <c r="D400">
        <f t="shared" si="24"/>
        <v>1.3919780629561077E-2</v>
      </c>
      <c r="E400">
        <f t="shared" si="25"/>
        <v>299.24075542797874</v>
      </c>
    </row>
    <row r="401" spans="1:5" x14ac:dyDescent="0.35">
      <c r="A401">
        <v>392</v>
      </c>
      <c r="B401">
        <f t="shared" si="26"/>
        <v>392</v>
      </c>
      <c r="C401">
        <f t="shared" si="27"/>
        <v>299.24075542797874</v>
      </c>
      <c r="D401">
        <f t="shared" si="24"/>
        <v>1.3669412344850787E-2</v>
      </c>
      <c r="E401">
        <f t="shared" si="25"/>
        <v>299.25442484032357</v>
      </c>
    </row>
    <row r="402" spans="1:5" x14ac:dyDescent="0.35">
      <c r="A402">
        <v>393</v>
      </c>
      <c r="B402">
        <f t="shared" si="26"/>
        <v>393</v>
      </c>
      <c r="C402">
        <f t="shared" si="27"/>
        <v>299.25442484032357</v>
      </c>
      <c r="D402">
        <f t="shared" si="24"/>
        <v>1.3423538789724769E-2</v>
      </c>
      <c r="E402">
        <f t="shared" si="25"/>
        <v>299.26784837911327</v>
      </c>
    </row>
    <row r="403" spans="1:5" x14ac:dyDescent="0.35">
      <c r="A403">
        <v>394</v>
      </c>
      <c r="B403">
        <f t="shared" si="26"/>
        <v>394</v>
      </c>
      <c r="C403">
        <f t="shared" si="27"/>
        <v>299.26784837911327</v>
      </c>
      <c r="D403">
        <f t="shared" si="24"/>
        <v>1.3182079577258407E-2</v>
      </c>
      <c r="E403">
        <f t="shared" si="25"/>
        <v>299.28103045869051</v>
      </c>
    </row>
    <row r="404" spans="1:5" x14ac:dyDescent="0.35">
      <c r="A404">
        <v>395</v>
      </c>
      <c r="B404">
        <f t="shared" si="26"/>
        <v>395</v>
      </c>
      <c r="C404">
        <f t="shared" si="27"/>
        <v>299.28103045869051</v>
      </c>
      <c r="D404">
        <f t="shared" si="24"/>
        <v>1.2944955747336801E-2</v>
      </c>
      <c r="E404">
        <f t="shared" si="25"/>
        <v>299.29397541443785</v>
      </c>
    </row>
    <row r="405" spans="1:5" x14ac:dyDescent="0.35">
      <c r="A405">
        <v>396</v>
      </c>
      <c r="B405">
        <f t="shared" si="26"/>
        <v>396</v>
      </c>
      <c r="C405">
        <f t="shared" si="27"/>
        <v>299.29397541443785</v>
      </c>
      <c r="D405">
        <f t="shared" si="24"/>
        <v>1.2712089741695451E-2</v>
      </c>
      <c r="E405">
        <f t="shared" si="25"/>
        <v>299.30668750417954</v>
      </c>
    </row>
    <row r="406" spans="1:5" x14ac:dyDescent="0.35">
      <c r="A406">
        <v>397</v>
      </c>
      <c r="B406">
        <f t="shared" si="26"/>
        <v>397</v>
      </c>
      <c r="C406">
        <f t="shared" si="27"/>
        <v>299.30668750417954</v>
      </c>
      <c r="D406">
        <f t="shared" si="24"/>
        <v>1.2483405379431073E-2</v>
      </c>
      <c r="E406">
        <f t="shared" si="25"/>
        <v>299.31917090955898</v>
      </c>
    </row>
    <row r="407" spans="1:5" x14ac:dyDescent="0.35">
      <c r="A407">
        <v>398</v>
      </c>
      <c r="B407">
        <f t="shared" si="26"/>
        <v>398</v>
      </c>
      <c r="C407">
        <f t="shared" si="27"/>
        <v>299.31917090955898</v>
      </c>
      <c r="D407">
        <f t="shared" si="24"/>
        <v>1.225882783288852E-2</v>
      </c>
      <c r="E407">
        <f t="shared" si="25"/>
        <v>299.33142973739189</v>
      </c>
    </row>
    <row r="408" spans="1:5" x14ac:dyDescent="0.35">
      <c r="A408">
        <v>399</v>
      </c>
      <c r="B408">
        <f t="shared" si="26"/>
        <v>399</v>
      </c>
      <c r="C408">
        <f t="shared" si="27"/>
        <v>299.33142973739189</v>
      </c>
      <c r="D408">
        <f t="shared" si="24"/>
        <v>1.2038283603985843E-2</v>
      </c>
      <c r="E408">
        <f t="shared" si="25"/>
        <v>299.34346802099589</v>
      </c>
    </row>
    <row r="409" spans="1:5" x14ac:dyDescent="0.35">
      <c r="A409">
        <v>400</v>
      </c>
      <c r="B409">
        <f t="shared" si="26"/>
        <v>400</v>
      </c>
      <c r="C409">
        <f t="shared" si="27"/>
        <v>299.34346802099589</v>
      </c>
      <c r="D409">
        <f t="shared" si="24"/>
        <v>1.1821700500914302E-2</v>
      </c>
      <c r="E409">
        <f t="shared" si="25"/>
        <v>299.35528972149677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9"/>
  <sheetViews>
    <sheetView workbookViewId="0">
      <pane ySplit="7" topLeftCell="A8" activePane="bottomLeft" state="frozen"/>
      <selection pane="bottomLeft"/>
    </sheetView>
  </sheetViews>
  <sheetFormatPr baseColWidth="10" defaultColWidth="8.7265625" defaultRowHeight="14.5" x14ac:dyDescent="0.35"/>
  <cols>
    <col min="1" max="11" width="18" customWidth="1"/>
  </cols>
  <sheetData>
    <row r="1" spans="1:8" x14ac:dyDescent="0.35">
      <c r="A1" t="s">
        <v>0</v>
      </c>
      <c r="B1" t="s">
        <v>1</v>
      </c>
    </row>
    <row r="2" spans="1:8" x14ac:dyDescent="0.35">
      <c r="A2" t="s">
        <v>2</v>
      </c>
      <c r="B2">
        <v>0.3</v>
      </c>
    </row>
    <row r="3" spans="1:8" x14ac:dyDescent="0.35">
      <c r="A3" t="s">
        <v>3</v>
      </c>
      <c r="B3">
        <v>1</v>
      </c>
    </row>
    <row r="4" spans="1:8" x14ac:dyDescent="0.35">
      <c r="A4" t="s">
        <v>4</v>
      </c>
      <c r="B4">
        <v>300</v>
      </c>
    </row>
    <row r="5" spans="1:8" x14ac:dyDescent="0.35">
      <c r="A5" t="s">
        <v>5</v>
      </c>
      <c r="B5">
        <v>1</v>
      </c>
    </row>
    <row r="6" spans="1:8" x14ac:dyDescent="0.35">
      <c r="A6" t="s">
        <v>6</v>
      </c>
      <c r="B6" t="s">
        <v>7</v>
      </c>
    </row>
    <row r="8" spans="1:8" x14ac:dyDescent="0.35">
      <c r="A8" t="s">
        <v>8</v>
      </c>
      <c r="B8" t="s">
        <v>9</v>
      </c>
      <c r="C8" t="s">
        <v>10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5">
      <c r="A9">
        <v>0</v>
      </c>
      <c r="B9">
        <v>0</v>
      </c>
      <c r="C9">
        <f>$B$5</f>
        <v>1</v>
      </c>
      <c r="D9">
        <f t="shared" ref="D9:D72" si="0">$B$2 * POWER(C9,3/4) * (1 - POWER(C9/$B$4,1/4))</f>
        <v>0.22791565757595736</v>
      </c>
      <c r="E9">
        <f t="shared" ref="E9:E72" si="1">C9 + $B$3 * D9</f>
        <v>1.2279156575759573</v>
      </c>
      <c r="F9">
        <f t="shared" ref="F9:F72" si="2">$B$2 * POWER(E9,3/4) * (1 - POWER(E9/$B$4,1/4))</f>
        <v>0.26142978688865237</v>
      </c>
      <c r="G9">
        <f t="shared" ref="G9:G72" si="3">C9 + ($B$3/2) * (D9 + F9)</f>
        <v>1.2446727222323049</v>
      </c>
      <c r="H9">
        <f>G9 - Euler!E9</f>
        <v>1.675706465634752E-2</v>
      </c>
    </row>
    <row r="10" spans="1:8" x14ac:dyDescent="0.35">
      <c r="A10">
        <v>1</v>
      </c>
      <c r="B10">
        <f t="shared" ref="B10:B73" si="4">B9 + $B$3</f>
        <v>1</v>
      </c>
      <c r="C10">
        <f t="shared" ref="C10:C73" si="5">G9</f>
        <v>1.2446727222323049</v>
      </c>
      <c r="D10">
        <f t="shared" si="0"/>
        <v>0.26379748232932554</v>
      </c>
      <c r="E10">
        <f t="shared" si="1"/>
        <v>1.5084702045616303</v>
      </c>
      <c r="F10">
        <f t="shared" si="2"/>
        <v>0.29960468728953005</v>
      </c>
      <c r="G10">
        <f t="shared" si="3"/>
        <v>1.5263738070417325</v>
      </c>
      <c r="H10">
        <f>G10 - Euler!E10</f>
        <v>3.7028362577122831E-2</v>
      </c>
    </row>
    <row r="11" spans="1:8" x14ac:dyDescent="0.35">
      <c r="A11">
        <v>2</v>
      </c>
      <c r="B11">
        <f t="shared" si="4"/>
        <v>2</v>
      </c>
      <c r="C11">
        <f t="shared" si="5"/>
        <v>1.5263738070417325</v>
      </c>
      <c r="D11">
        <f t="shared" si="0"/>
        <v>0.3019436206908096</v>
      </c>
      <c r="E11">
        <f t="shared" si="1"/>
        <v>1.828317427732542</v>
      </c>
      <c r="F11">
        <f t="shared" si="2"/>
        <v>0.33990050818665823</v>
      </c>
      <c r="G11">
        <f t="shared" si="3"/>
        <v>1.8472958714804664</v>
      </c>
      <c r="H11">
        <f>G11 - Euler!E11</f>
        <v>6.0856123911380289E-2</v>
      </c>
    </row>
    <row r="12" spans="1:8" x14ac:dyDescent="0.35">
      <c r="A12">
        <v>3</v>
      </c>
      <c r="B12">
        <f t="shared" si="4"/>
        <v>3</v>
      </c>
      <c r="C12">
        <f t="shared" si="5"/>
        <v>1.8472958714804664</v>
      </c>
      <c r="D12">
        <f t="shared" si="0"/>
        <v>0.34219994807206544</v>
      </c>
      <c r="E12">
        <f t="shared" si="1"/>
        <v>2.1894958195525316</v>
      </c>
      <c r="F12">
        <f t="shared" si="2"/>
        <v>0.38215371052395813</v>
      </c>
      <c r="G12">
        <f t="shared" si="3"/>
        <v>2.2094727007784782</v>
      </c>
      <c r="H12">
        <f>G12 - Euler!E12</f>
        <v>8.8240263902424232E-2</v>
      </c>
    </row>
    <row r="13" spans="1:8" x14ac:dyDescent="0.35">
      <c r="A13">
        <v>4</v>
      </c>
      <c r="B13">
        <f t="shared" si="4"/>
        <v>4</v>
      </c>
      <c r="C13">
        <f t="shared" si="5"/>
        <v>2.2094727007784782</v>
      </c>
      <c r="D13">
        <f t="shared" si="0"/>
        <v>0.38440457469903061</v>
      </c>
      <c r="E13">
        <f t="shared" si="1"/>
        <v>2.5938772754775088</v>
      </c>
      <c r="F13">
        <f t="shared" si="2"/>
        <v>0.4261954855613489</v>
      </c>
      <c r="G13">
        <f t="shared" si="3"/>
        <v>2.6147727309086681</v>
      </c>
      <c r="H13">
        <f>G13 - Euler!E13</f>
        <v>0.11914225949874302</v>
      </c>
    </row>
    <row r="14" spans="1:8" x14ac:dyDescent="0.35">
      <c r="A14">
        <v>5</v>
      </c>
      <c r="B14">
        <f t="shared" si="4"/>
        <v>5</v>
      </c>
      <c r="C14">
        <f t="shared" si="5"/>
        <v>2.6147727309086681</v>
      </c>
      <c r="D14">
        <f t="shared" si="0"/>
        <v>0.42839018088700387</v>
      </c>
      <c r="E14">
        <f t="shared" si="1"/>
        <v>3.043162911795672</v>
      </c>
      <c r="F14">
        <f t="shared" si="2"/>
        <v>0.47185378950611884</v>
      </c>
      <c r="G14">
        <f t="shared" si="3"/>
        <v>3.0648947161052296</v>
      </c>
      <c r="H14">
        <f>G14 - Euler!E14</f>
        <v>0.15348911612062421</v>
      </c>
    </row>
    <row r="15" spans="1:8" x14ac:dyDescent="0.35">
      <c r="A15">
        <v>6</v>
      </c>
      <c r="B15">
        <f t="shared" si="4"/>
        <v>6</v>
      </c>
      <c r="C15">
        <f t="shared" si="5"/>
        <v>3.0648947161052296</v>
      </c>
      <c r="D15">
        <f t="shared" si="0"/>
        <v>0.47398606207165656</v>
      </c>
      <c r="E15">
        <f t="shared" si="1"/>
        <v>3.5388807781768863</v>
      </c>
      <c r="F15">
        <f t="shared" si="2"/>
        <v>0.51895511590812982</v>
      </c>
      <c r="G15">
        <f t="shared" si="3"/>
        <v>3.5613653050951228</v>
      </c>
      <c r="H15">
        <f>G15 - Euler!E15</f>
        <v>0.19117732467059989</v>
      </c>
    </row>
    <row r="16" spans="1:8" x14ac:dyDescent="0.35">
      <c r="A16">
        <v>7</v>
      </c>
      <c r="B16">
        <f t="shared" si="4"/>
        <v>7</v>
      </c>
      <c r="C16">
        <f t="shared" si="5"/>
        <v>3.5613653050951228</v>
      </c>
      <c r="D16">
        <f t="shared" si="0"/>
        <v>0.52101991191906549</v>
      </c>
      <c r="E16">
        <f t="shared" si="1"/>
        <v>4.0823852170141883</v>
      </c>
      <c r="F16">
        <f t="shared" si="2"/>
        <v>0.56732603206477572</v>
      </c>
      <c r="G16">
        <f t="shared" si="3"/>
        <v>4.1055382770870432</v>
      </c>
      <c r="H16">
        <f>G16 - Euler!E16</f>
        <v>0.23207673398858075</v>
      </c>
    </row>
    <row r="17" spans="1:8" x14ac:dyDescent="0.35">
      <c r="A17">
        <v>8</v>
      </c>
      <c r="B17">
        <f t="shared" si="4"/>
        <v>8</v>
      </c>
      <c r="C17">
        <f t="shared" si="5"/>
        <v>4.1055382770870432</v>
      </c>
      <c r="D17">
        <f t="shared" si="0"/>
        <v>0.56931936937292005</v>
      </c>
      <c r="E17">
        <f t="shared" si="1"/>
        <v>4.6748576464599632</v>
      </c>
      <c r="F17">
        <f t="shared" si="2"/>
        <v>0.61679450326368179</v>
      </c>
      <c r="G17">
        <f t="shared" si="3"/>
        <v>4.6985952134053441</v>
      </c>
      <c r="H17">
        <f>G17 - Euler!E17</f>
        <v>0.2760342838176264</v>
      </c>
    </row>
    <row r="18" spans="1:8" x14ac:dyDescent="0.35">
      <c r="A18">
        <v>9</v>
      </c>
      <c r="B18">
        <f t="shared" si="4"/>
        <v>9</v>
      </c>
      <c r="C18">
        <f t="shared" si="5"/>
        <v>4.6985952134053441</v>
      </c>
      <c r="D18">
        <f t="shared" si="0"/>
        <v>0.61871335322823107</v>
      </c>
      <c r="E18">
        <f t="shared" si="1"/>
        <v>5.3173085666335753</v>
      </c>
      <c r="F18">
        <f t="shared" si="2"/>
        <v>0.66719102651128603</v>
      </c>
      <c r="G18">
        <f t="shared" si="3"/>
        <v>5.3415474032751025</v>
      </c>
      <c r="H18">
        <f>G18 - Euler!E18</f>
        <v>0.32287755905644833</v>
      </c>
    </row>
    <row r="19" spans="1:8" x14ac:dyDescent="0.35">
      <c r="A19">
        <v>10</v>
      </c>
      <c r="B19">
        <f t="shared" si="4"/>
        <v>10</v>
      </c>
      <c r="C19">
        <f t="shared" si="5"/>
        <v>5.3415474032751025</v>
      </c>
      <c r="D19">
        <f t="shared" si="0"/>
        <v>0.66903320573707903</v>
      </c>
      <c r="E19">
        <f t="shared" si="1"/>
        <v>6.0105806090121812</v>
      </c>
      <c r="F19">
        <f t="shared" si="2"/>
        <v>0.71834959342140925</v>
      </c>
      <c r="G19">
        <f t="shared" si="3"/>
        <v>6.0352388028543462</v>
      </c>
      <c r="H19">
        <f>G19 - Euler!E19</f>
        <v>0.37241813848028293</v>
      </c>
    </row>
    <row r="20" spans="1:8" x14ac:dyDescent="0.35">
      <c r="A20">
        <v>11</v>
      </c>
      <c r="B20">
        <f t="shared" si="4"/>
        <v>11</v>
      </c>
      <c r="C20">
        <f t="shared" si="5"/>
        <v>6.0352388028543462</v>
      </c>
      <c r="D20">
        <f t="shared" si="0"/>
        <v>0.72011366484042549</v>
      </c>
      <c r="E20">
        <f t="shared" si="1"/>
        <v>6.755352467694772</v>
      </c>
      <c r="F20">
        <f t="shared" si="2"/>
        <v>0.77010850014480214</v>
      </c>
      <c r="G20">
        <f t="shared" si="3"/>
        <v>6.7803498853469604</v>
      </c>
      <c r="H20">
        <f>G20 - Euler!E20</f>
        <v>0.42445472087922642</v>
      </c>
    </row>
    <row r="21" spans="1:8" x14ac:dyDescent="0.35">
      <c r="A21">
        <v>12</v>
      </c>
      <c r="B21">
        <f t="shared" si="4"/>
        <v>12</v>
      </c>
      <c r="C21">
        <f t="shared" si="5"/>
        <v>6.7803498853469604</v>
      </c>
      <c r="D21">
        <f t="shared" si="0"/>
        <v>0.77179368286773609</v>
      </c>
      <c r="E21">
        <f t="shared" si="1"/>
        <v>7.5521435682146967</v>
      </c>
      <c r="F21">
        <f t="shared" si="2"/>
        <v>0.82231102058829086</v>
      </c>
      <c r="G21">
        <f t="shared" si="3"/>
        <v>7.5774022370749741</v>
      </c>
      <c r="H21">
        <f>G21 - Euler!E21</f>
        <v>0.47877601921812207</v>
      </c>
    </row>
    <row r="22" spans="1:8" x14ac:dyDescent="0.35">
      <c r="A22">
        <v>13</v>
      </c>
      <c r="B22">
        <f t="shared" si="4"/>
        <v>13</v>
      </c>
      <c r="C22">
        <f t="shared" si="5"/>
        <v>7.5774022370749741</v>
      </c>
      <c r="D22">
        <f t="shared" si="0"/>
        <v>0.82391710794057582</v>
      </c>
      <c r="E22">
        <f t="shared" si="1"/>
        <v>8.4013193450155494</v>
      </c>
      <c r="F22">
        <f t="shared" si="2"/>
        <v>0.87480595768401426</v>
      </c>
      <c r="G22">
        <f t="shared" si="3"/>
        <v>8.4267637698872697</v>
      </c>
      <c r="H22">
        <f>G22 - Euler!E22</f>
        <v>0.53516341938171941</v>
      </c>
    </row>
    <row r="23" spans="1:8" x14ac:dyDescent="0.35">
      <c r="A23">
        <v>14</v>
      </c>
      <c r="B23">
        <f t="shared" si="4"/>
        <v>14</v>
      </c>
      <c r="C23">
        <f t="shared" si="5"/>
        <v>8.4267637698872697</v>
      </c>
      <c r="D23">
        <f t="shared" si="0"/>
        <v>0.87633324284556824</v>
      </c>
      <c r="E23">
        <f t="shared" si="1"/>
        <v>9.3030970127328381</v>
      </c>
      <c r="F23">
        <f t="shared" si="2"/>
        <v>0.92744808611117391</v>
      </c>
      <c r="G23">
        <f t="shared" si="3"/>
        <v>9.3286544343656406</v>
      </c>
      <c r="H23">
        <f>G23 - Euler!E23</f>
        <v>0.5933934046656848</v>
      </c>
    </row>
    <row r="24" spans="1:8" x14ac:dyDescent="0.35">
      <c r="A24">
        <v>15</v>
      </c>
      <c r="B24">
        <f t="shared" si="4"/>
        <v>15</v>
      </c>
      <c r="C24">
        <f t="shared" si="5"/>
        <v>9.3286544343656406</v>
      </c>
      <c r="D24">
        <f t="shared" si="0"/>
        <v>0.92889729479522121</v>
      </c>
      <c r="E24">
        <f t="shared" si="1"/>
        <v>10.257551729160863</v>
      </c>
      <c r="F24">
        <f t="shared" si="2"/>
        <v>0.98009849863258447</v>
      </c>
      <c r="G24">
        <f t="shared" si="3"/>
        <v>10.283152331079544</v>
      </c>
      <c r="H24">
        <f>G24 - Euler!E24</f>
        <v>0.65323975067467366</v>
      </c>
    </row>
    <row r="25" spans="1:8" x14ac:dyDescent="0.35">
      <c r="A25">
        <v>16</v>
      </c>
      <c r="B25">
        <f t="shared" si="4"/>
        <v>16</v>
      </c>
      <c r="C25">
        <f t="shared" si="5"/>
        <v>10.283152331079544</v>
      </c>
      <c r="D25">
        <f t="shared" si="0"/>
        <v>0.98147072826191617</v>
      </c>
      <c r="E25">
        <f t="shared" si="1"/>
        <v>11.26462305934146</v>
      </c>
      <c r="F25">
        <f t="shared" si="2"/>
        <v>1.0326248670754237</v>
      </c>
      <c r="G25">
        <f t="shared" si="3"/>
        <v>11.290200128748214</v>
      </c>
      <c r="H25">
        <f>G25 - Euler!E25</f>
        <v>0.71447549790760156</v>
      </c>
    </row>
    <row r="26" spans="1:8" x14ac:dyDescent="0.35">
      <c r="A26">
        <v>17</v>
      </c>
      <c r="B26">
        <f t="shared" si="4"/>
        <v>17</v>
      </c>
      <c r="C26">
        <f t="shared" si="5"/>
        <v>11.290200128748214</v>
      </c>
      <c r="D26">
        <f t="shared" si="0"/>
        <v>1.0339215319415551</v>
      </c>
      <c r="E26">
        <f t="shared" si="1"/>
        <v>12.324121660689769</v>
      </c>
      <c r="F26">
        <f t="shared" si="2"/>
        <v>1.0849016279504402</v>
      </c>
      <c r="G26">
        <f t="shared" si="3"/>
        <v>12.349611708694212</v>
      </c>
      <c r="H26">
        <f>G26 - Euler!E26</f>
        <v>0.77687471122058405</v>
      </c>
    </row>
    <row r="27" spans="1:8" x14ac:dyDescent="0.35">
      <c r="A27">
        <v>18</v>
      </c>
      <c r="B27">
        <f t="shared" si="4"/>
        <v>18</v>
      </c>
      <c r="C27">
        <f t="shared" si="5"/>
        <v>12.349611708694212</v>
      </c>
      <c r="D27">
        <f t="shared" si="0"/>
        <v>1.0861244098703799</v>
      </c>
      <c r="E27">
        <f t="shared" si="1"/>
        <v>13.435736118564591</v>
      </c>
      <c r="F27">
        <f t="shared" si="2"/>
        <v>1.1368101017580334</v>
      </c>
      <c r="G27">
        <f t="shared" si="3"/>
        <v>13.461078964508419</v>
      </c>
      <c r="H27">
        <f>G27 - Euler!E27</f>
        <v>0.8402140367001536</v>
      </c>
    </row>
    <row r="28" spans="1:8" x14ac:dyDescent="0.35">
      <c r="A28">
        <v>19</v>
      </c>
      <c r="B28">
        <f t="shared" si="4"/>
        <v>19</v>
      </c>
      <c r="C28">
        <f t="shared" si="5"/>
        <v>13.461078964508419</v>
      </c>
      <c r="D28">
        <f t="shared" si="0"/>
        <v>1.1379609057734745</v>
      </c>
      <c r="E28">
        <f t="shared" si="1"/>
        <v>14.599039870281892</v>
      </c>
      <c r="F28">
        <f t="shared" si="2"/>
        <v>1.1882385541654605</v>
      </c>
      <c r="G28">
        <f t="shared" si="3"/>
        <v>14.624178694477886</v>
      </c>
      <c r="H28">
        <f>G28 - Euler!E28</f>
        <v>0.9042740673670604</v>
      </c>
    </row>
    <row r="29" spans="1:8" x14ac:dyDescent="0.35">
      <c r="A29">
        <v>20</v>
      </c>
      <c r="B29">
        <f t="shared" si="4"/>
        <v>20</v>
      </c>
      <c r="C29">
        <f t="shared" si="5"/>
        <v>14.624178694477886</v>
      </c>
      <c r="D29">
        <f t="shared" si="0"/>
        <v>1.1893194688592481</v>
      </c>
      <c r="E29">
        <f t="shared" si="1"/>
        <v>15.813498163337133</v>
      </c>
      <c r="F29">
        <f t="shared" si="2"/>
        <v>1.2390822064499623</v>
      </c>
      <c r="G29">
        <f t="shared" si="3"/>
        <v>15.838379532132491</v>
      </c>
      <c r="H29">
        <f>G29 - Euler!E29</f>
        <v>0.96884052965705969</v>
      </c>
    </row>
    <row r="30" spans="1:8" x14ac:dyDescent="0.35">
      <c r="A30">
        <v>21</v>
      </c>
      <c r="B30">
        <f t="shared" si="4"/>
        <v>21</v>
      </c>
      <c r="C30">
        <f t="shared" si="5"/>
        <v>15.838379532132491</v>
      </c>
      <c r="D30">
        <f t="shared" si="0"/>
        <v>1.2400954684841066</v>
      </c>
      <c r="E30">
        <f t="shared" si="1"/>
        <v>17.078475000616596</v>
      </c>
      <c r="F30">
        <f t="shared" si="2"/>
        <v>1.2892432018816786</v>
      </c>
      <c r="G30">
        <f t="shared" si="3"/>
        <v>17.103048867315383</v>
      </c>
      <c r="H30">
        <f>G30 - Euler!E30</f>
        <v>1.0337053028649308</v>
      </c>
    </row>
    <row r="31" spans="1:8" x14ac:dyDescent="0.35">
      <c r="A31">
        <v>22</v>
      </c>
      <c r="B31">
        <f t="shared" si="4"/>
        <v>22</v>
      </c>
      <c r="C31">
        <f t="shared" si="5"/>
        <v>17.103048867315383</v>
      </c>
      <c r="D31">
        <f t="shared" si="0"/>
        <v>1.2901911643895765</v>
      </c>
      <c r="E31">
        <f t="shared" si="1"/>
        <v>18.393240031704959</v>
      </c>
      <c r="F31">
        <f t="shared" si="2"/>
        <v>1.3386305340620035</v>
      </c>
      <c r="G31">
        <f t="shared" si="3"/>
        <v>18.417459716541174</v>
      </c>
      <c r="H31">
        <f>G31 - Euler!E31</f>
        <v>1.0986672837531906</v>
      </c>
    </row>
    <row r="32" spans="1:8" x14ac:dyDescent="0.35">
      <c r="A32">
        <v>23</v>
      </c>
      <c r="B32">
        <f t="shared" si="4"/>
        <v>23</v>
      </c>
      <c r="C32">
        <f t="shared" si="5"/>
        <v>18.417459716541174</v>
      </c>
      <c r="D32">
        <f t="shared" si="0"/>
        <v>1.3395156385546785</v>
      </c>
      <c r="E32">
        <f t="shared" si="1"/>
        <v>19.756975355095854</v>
      </c>
      <c r="F32">
        <f t="shared" si="2"/>
        <v>1.3871599426323982</v>
      </c>
      <c r="G32">
        <f t="shared" si="3"/>
        <v>19.780797507134711</v>
      </c>
      <c r="H32">
        <f>G32 - Euler!E32</f>
        <v>1.1635331083676981</v>
      </c>
    </row>
    <row r="33" spans="1:8" x14ac:dyDescent="0.35">
      <c r="A33">
        <v>24</v>
      </c>
      <c r="B33">
        <f t="shared" si="4"/>
        <v>24</v>
      </c>
      <c r="C33">
        <f t="shared" si="5"/>
        <v>19.780797507134711</v>
      </c>
      <c r="D33">
        <f t="shared" si="0"/>
        <v>1.3879846941042904</v>
      </c>
      <c r="E33">
        <f t="shared" si="1"/>
        <v>21.168782201239001</v>
      </c>
      <c r="F33">
        <f t="shared" si="2"/>
        <v>1.4347537812207385</v>
      </c>
      <c r="G33">
        <f t="shared" si="3"/>
        <v>21.192166744797227</v>
      </c>
      <c r="H33">
        <f>G33 - Euler!E33</f>
        <v>1.2281177428095802</v>
      </c>
    </row>
    <row r="34" spans="1:8" x14ac:dyDescent="0.35">
      <c r="A34">
        <v>25</v>
      </c>
      <c r="B34">
        <f t="shared" si="4"/>
        <v>25</v>
      </c>
      <c r="C34">
        <f t="shared" si="5"/>
        <v>21.192166744797227</v>
      </c>
      <c r="D34">
        <f t="shared" si="0"/>
        <v>1.4355207261648804</v>
      </c>
      <c r="E34">
        <f t="shared" si="1"/>
        <v>22.627687470962108</v>
      </c>
      <c r="F34">
        <f t="shared" si="2"/>
        <v>1.4813408619928052</v>
      </c>
      <c r="G34">
        <f t="shared" si="3"/>
        <v>22.65059753887607</v>
      </c>
      <c r="H34">
        <f>G34 - Euler!E34</f>
        <v>1.2922449543197914</v>
      </c>
    </row>
    <row r="35" spans="1:8" x14ac:dyDescent="0.35">
      <c r="A35">
        <v>26</v>
      </c>
      <c r="B35">
        <f t="shared" si="4"/>
        <v>26</v>
      </c>
      <c r="C35">
        <f t="shared" si="5"/>
        <v>22.65059753887607</v>
      </c>
      <c r="D35">
        <f t="shared" si="0"/>
        <v>1.4820525690579949</v>
      </c>
      <c r="E35">
        <f t="shared" si="1"/>
        <v>24.132650107934065</v>
      </c>
      <c r="F35">
        <f t="shared" si="2"/>
        <v>1.5268562807213264</v>
      </c>
      <c r="G35">
        <f t="shared" si="3"/>
        <v>24.155051963765732</v>
      </c>
      <c r="H35">
        <f>G35 - Euler!E35</f>
        <v>1.3557476735664871</v>
      </c>
    </row>
    <row r="36" spans="1:8" x14ac:dyDescent="0.35">
      <c r="A36">
        <v>27</v>
      </c>
      <c r="B36">
        <f t="shared" si="4"/>
        <v>27</v>
      </c>
      <c r="C36">
        <f t="shared" si="5"/>
        <v>24.155051963765732</v>
      </c>
      <c r="D36">
        <f t="shared" si="0"/>
        <v>1.5275153237652392</v>
      </c>
      <c r="E36">
        <f t="shared" si="1"/>
        <v>25.682567287530972</v>
      </c>
      <c r="F36">
        <f t="shared" si="2"/>
        <v>1.5712412258705359</v>
      </c>
      <c r="G36">
        <f t="shared" si="3"/>
        <v>25.704430238583619</v>
      </c>
      <c r="H36">
        <f>G36 - Euler!E36</f>
        <v>1.418468258507886</v>
      </c>
    </row>
    <row r="37" spans="1:8" x14ac:dyDescent="0.35">
      <c r="A37">
        <v>28</v>
      </c>
      <c r="B37">
        <f t="shared" si="4"/>
        <v>28</v>
      </c>
      <c r="C37">
        <f t="shared" si="5"/>
        <v>25.704430238583619</v>
      </c>
      <c r="D37">
        <f t="shared" si="0"/>
        <v>1.5718501691826179</v>
      </c>
      <c r="E37">
        <f t="shared" si="1"/>
        <v>27.276280407766237</v>
      </c>
      <c r="F37">
        <f t="shared" si="2"/>
        <v>1.6144427748170473</v>
      </c>
      <c r="G37">
        <f t="shared" si="3"/>
        <v>27.297576710583453</v>
      </c>
      <c r="H37">
        <f>G37 - Euler!E37</f>
        <v>1.4802586696523257</v>
      </c>
    </row>
    <row r="38" spans="1:8" x14ac:dyDescent="0.35">
      <c r="A38">
        <v>29</v>
      </c>
      <c r="B38">
        <f t="shared" si="4"/>
        <v>29</v>
      </c>
      <c r="C38">
        <f t="shared" si="5"/>
        <v>27.297576710583453</v>
      </c>
      <c r="D38">
        <f t="shared" si="0"/>
        <v>1.6150041603035321</v>
      </c>
      <c r="E38">
        <f t="shared" si="1"/>
        <v>28.912580870886984</v>
      </c>
      <c r="F38">
        <f t="shared" si="2"/>
        <v>1.6564136799848568</v>
      </c>
      <c r="G38">
        <f t="shared" si="3"/>
        <v>28.933285630727646</v>
      </c>
      <c r="H38">
        <f>G38 - Euler!E38</f>
        <v>1.5409805659670219</v>
      </c>
    </row>
    <row r="39" spans="1:8" x14ac:dyDescent="0.35">
      <c r="A39">
        <v>30</v>
      </c>
      <c r="B39">
        <f t="shared" si="4"/>
        <v>30</v>
      </c>
      <c r="C39">
        <f t="shared" si="5"/>
        <v>28.933285630727646</v>
      </c>
      <c r="D39">
        <f t="shared" si="0"/>
        <v>1.656930016125445</v>
      </c>
      <c r="E39">
        <f t="shared" si="1"/>
        <v>30.590215646853089</v>
      </c>
      <c r="F39">
        <f t="shared" si="2"/>
        <v>1.6971121473606501</v>
      </c>
      <c r="G39">
        <f t="shared" si="3"/>
        <v>30.610306712470692</v>
      </c>
      <c r="H39">
        <f>G39 - Euler!E39</f>
        <v>1.6005053301088914</v>
      </c>
    </row>
    <row r="40" spans="1:8" x14ac:dyDescent="0.35">
      <c r="A40">
        <v>31</v>
      </c>
      <c r="B40">
        <f t="shared" si="4"/>
        <v>31</v>
      </c>
      <c r="C40">
        <f t="shared" si="5"/>
        <v>30.610306712470692</v>
      </c>
      <c r="D40">
        <f t="shared" si="0"/>
        <v>1.6975858997623587</v>
      </c>
      <c r="E40">
        <f t="shared" si="1"/>
        <v>32.307892612233047</v>
      </c>
      <c r="F40">
        <f t="shared" si="2"/>
        <v>1.7365016095726937</v>
      </c>
      <c r="G40">
        <f t="shared" si="3"/>
        <v>32.327350467138217</v>
      </c>
      <c r="H40">
        <f>G40 - Euler!E40</f>
        <v>1.6587140310736999</v>
      </c>
    </row>
    <row r="41" spans="1:8" x14ac:dyDescent="0.35">
      <c r="A41">
        <v>32</v>
      </c>
      <c r="B41">
        <f t="shared" si="4"/>
        <v>32</v>
      </c>
      <c r="C41">
        <f t="shared" si="5"/>
        <v>32.327350467138217</v>
      </c>
      <c r="D41">
        <f t="shared" si="0"/>
        <v>1.7369351929610859</v>
      </c>
      <c r="E41">
        <f t="shared" si="1"/>
        <v>34.064285660099301</v>
      </c>
      <c r="F41">
        <f t="shared" si="2"/>
        <v>1.7745504954599156</v>
      </c>
      <c r="G41">
        <f t="shared" si="3"/>
        <v>34.083093311348719</v>
      </c>
      <c r="H41">
        <f>G41 - Euler!E41</f>
        <v>1.7154973317909707</v>
      </c>
    </row>
    <row r="42" spans="1:8" x14ac:dyDescent="0.35">
      <c r="A42">
        <v>33</v>
      </c>
      <c r="B42">
        <f t="shared" si="4"/>
        <v>33</v>
      </c>
      <c r="C42">
        <f t="shared" si="5"/>
        <v>34.083093311348719</v>
      </c>
      <c r="D42">
        <f t="shared" si="0"/>
        <v>1.7749462669616338</v>
      </c>
      <c r="E42">
        <f t="shared" si="1"/>
        <v>35.858039578310354</v>
      </c>
      <c r="F42">
        <f t="shared" si="2"/>
        <v>1.8112319978252829</v>
      </c>
      <c r="G42">
        <f t="shared" si="3"/>
        <v>35.876182443742181</v>
      </c>
      <c r="H42">
        <f>G42 - Euler!E42</f>
        <v>1.7707553486367331</v>
      </c>
    </row>
    <row r="43" spans="1:8" x14ac:dyDescent="0.35">
      <c r="A43">
        <v>34</v>
      </c>
      <c r="B43">
        <f t="shared" si="4"/>
        <v>34</v>
      </c>
      <c r="C43">
        <f t="shared" si="5"/>
        <v>35.876182443742181</v>
      </c>
      <c r="D43">
        <f t="shared" si="0"/>
        <v>1.811592251408374</v>
      </c>
      <c r="E43">
        <f t="shared" si="1"/>
        <v>37.687774695150551</v>
      </c>
      <c r="F43">
        <f t="shared" si="2"/>
        <v>1.8465238408570486</v>
      </c>
      <c r="G43">
        <f t="shared" si="3"/>
        <v>37.705240489874889</v>
      </c>
      <c r="H43">
        <f>G43 - Euler!E43</f>
        <v>1.8243974692986598</v>
      </c>
    </row>
    <row r="44" spans="1:8" x14ac:dyDescent="0.35">
      <c r="A44">
        <v>35</v>
      </c>
      <c r="B44">
        <f t="shared" si="4"/>
        <v>35</v>
      </c>
      <c r="C44">
        <f t="shared" si="5"/>
        <v>37.705240489874889</v>
      </c>
      <c r="D44">
        <f t="shared" si="0"/>
        <v>1.846850802807211</v>
      </c>
      <c r="E44">
        <f t="shared" si="1"/>
        <v>39.5520912926821</v>
      </c>
      <c r="F44">
        <f t="shared" si="2"/>
        <v>1.8804080485111119</v>
      </c>
      <c r="G44">
        <f t="shared" si="3"/>
        <v>39.568869915534052</v>
      </c>
      <c r="H44">
        <f>G44 - Euler!E44</f>
        <v>1.8763421349112761</v>
      </c>
    </row>
    <row r="45" spans="1:8" x14ac:dyDescent="0.35">
      <c r="A45">
        <v>36</v>
      </c>
      <c r="B45">
        <f t="shared" si="4"/>
        <v>36</v>
      </c>
      <c r="C45">
        <f t="shared" si="5"/>
        <v>39.568869915534052</v>
      </c>
      <c r="D45">
        <f t="shared" si="0"/>
        <v>1.8807038738327273</v>
      </c>
      <c r="E45">
        <f t="shared" si="1"/>
        <v>41.449573789366781</v>
      </c>
      <c r="F45">
        <f t="shared" si="2"/>
        <v>1.9128707149758175</v>
      </c>
      <c r="G45">
        <f t="shared" si="3"/>
        <v>41.465657209938321</v>
      </c>
      <c r="H45">
        <f>G45 - Euler!E45</f>
        <v>1.92651659188504</v>
      </c>
    </row>
    <row r="46" spans="1:8" x14ac:dyDescent="0.35">
      <c r="A46">
        <v>37</v>
      </c>
      <c r="B46">
        <f t="shared" si="4"/>
        <v>37</v>
      </c>
      <c r="C46">
        <f t="shared" si="5"/>
        <v>41.465657209938321</v>
      </c>
      <c r="D46">
        <f t="shared" si="0"/>
        <v>1.9131374846164895</v>
      </c>
      <c r="E46">
        <f t="shared" si="1"/>
        <v>43.378794694554813</v>
      </c>
      <c r="F46">
        <f t="shared" si="2"/>
        <v>1.9439017781854917</v>
      </c>
      <c r="G46">
        <f t="shared" si="3"/>
        <v>43.394176841339309</v>
      </c>
      <c r="H46">
        <f>G46 - Euler!E46</f>
        <v>1.9748566183836829</v>
      </c>
    </row>
    <row r="47" spans="1:8" x14ac:dyDescent="0.35">
      <c r="A47">
        <v>38</v>
      </c>
      <c r="B47">
        <f t="shared" si="4"/>
        <v>38</v>
      </c>
      <c r="C47">
        <f t="shared" si="5"/>
        <v>43.394176841339309</v>
      </c>
      <c r="D47">
        <f t="shared" si="0"/>
        <v>1.9441414969919319</v>
      </c>
      <c r="E47">
        <f t="shared" si="1"/>
        <v>45.338318338331241</v>
      </c>
      <c r="F47">
        <f t="shared" si="2"/>
        <v>1.9734947972093493</v>
      </c>
      <c r="G47">
        <f t="shared" si="3"/>
        <v>45.352994988439953</v>
      </c>
      <c r="H47">
        <f>G47 - Euler!E47</f>
        <v>2.0213062299596913</v>
      </c>
    </row>
    <row r="48" spans="1:8" x14ac:dyDescent="0.35">
      <c r="A48">
        <v>39</v>
      </c>
      <c r="B48">
        <f t="shared" si="4"/>
        <v>39</v>
      </c>
      <c r="C48">
        <f t="shared" si="5"/>
        <v>45.352994988439953</v>
      </c>
      <c r="D48">
        <f t="shared" si="0"/>
        <v>1.9737093925307629</v>
      </c>
      <c r="E48">
        <f t="shared" si="1"/>
        <v>47.326704380970718</v>
      </c>
      <c r="F48">
        <f t="shared" si="2"/>
        <v>2.0016467342168069</v>
      </c>
      <c r="G48">
        <f t="shared" si="3"/>
        <v>47.340673051813738</v>
      </c>
      <c r="H48">
        <f>G48 - Euler!E48</f>
        <v>2.0658173684392835</v>
      </c>
    </row>
    <row r="49" spans="1:8" x14ac:dyDescent="0.35">
      <c r="A49">
        <v>40</v>
      </c>
      <c r="B49">
        <f t="shared" si="4"/>
        <v>40</v>
      </c>
      <c r="C49">
        <f t="shared" si="5"/>
        <v>47.340673051813738</v>
      </c>
      <c r="D49">
        <f t="shared" si="0"/>
        <v>2.0018380550796855</v>
      </c>
      <c r="E49">
        <f t="shared" si="1"/>
        <v>49.342511106893426</v>
      </c>
      <c r="F49">
        <f t="shared" si="2"/>
        <v>2.0283577416075014</v>
      </c>
      <c r="G49">
        <f t="shared" si="3"/>
        <v>49.355770950157329</v>
      </c>
      <c r="H49">
        <f>G49 - Euler!E49</f>
        <v>2.1083495777550922</v>
      </c>
    </row>
    <row r="50" spans="1:8" x14ac:dyDescent="0.35">
      <c r="A50">
        <v>41</v>
      </c>
      <c r="B50">
        <f t="shared" si="4"/>
        <v>41</v>
      </c>
      <c r="C50">
        <f t="shared" si="5"/>
        <v>49.355770950157329</v>
      </c>
      <c r="D50">
        <f t="shared" si="0"/>
        <v>2.0285275583926987</v>
      </c>
      <c r="E50">
        <f t="shared" si="1"/>
        <v>51.384298508550025</v>
      </c>
      <c r="F50">
        <f t="shared" si="2"/>
        <v>2.0536309547932188</v>
      </c>
      <c r="G50">
        <f t="shared" si="3"/>
        <v>51.396850206750287</v>
      </c>
      <c r="H50">
        <f>G50 - Euler!E50</f>
        <v>2.1488696700568468</v>
      </c>
    </row>
    <row r="51" spans="1:8" x14ac:dyDescent="0.35">
      <c r="A51">
        <v>42</v>
      </c>
      <c r="B51">
        <f t="shared" si="4"/>
        <v>42</v>
      </c>
      <c r="C51">
        <f t="shared" si="5"/>
        <v>51.396850206750287</v>
      </c>
      <c r="D51">
        <f t="shared" si="0"/>
        <v>2.053780959352737</v>
      </c>
      <c r="E51">
        <f t="shared" si="1"/>
        <v>53.450631166103022</v>
      </c>
      <c r="F51">
        <f t="shared" si="2"/>
        <v>2.077472291028565</v>
      </c>
      <c r="G51">
        <f t="shared" si="3"/>
        <v>53.46247683194094</v>
      </c>
      <c r="H51">
        <f>G51 - Euler!E51</f>
        <v>2.1873513850875028</v>
      </c>
    </row>
    <row r="52" spans="1:8" x14ac:dyDescent="0.35">
      <c r="A52">
        <v>43</v>
      </c>
      <c r="B52">
        <f t="shared" si="4"/>
        <v>43</v>
      </c>
      <c r="C52">
        <f t="shared" si="5"/>
        <v>53.46247683194094</v>
      </c>
      <c r="D52">
        <f t="shared" si="0"/>
        <v>2.0776040971853673</v>
      </c>
      <c r="E52">
        <f t="shared" si="1"/>
        <v>55.540080929126304</v>
      </c>
      <c r="F52">
        <f t="shared" si="2"/>
        <v>2.0998902546065019</v>
      </c>
      <c r="G52">
        <f t="shared" si="3"/>
        <v>55.551224007836872</v>
      </c>
      <c r="H52">
        <f>G52 - Euler!E52</f>
        <v>2.2237750454931771</v>
      </c>
    </row>
    <row r="53" spans="1:8" x14ac:dyDescent="0.35">
      <c r="A53">
        <v>44</v>
      </c>
      <c r="B53">
        <f t="shared" si="4"/>
        <v>44</v>
      </c>
      <c r="C53">
        <f t="shared" si="5"/>
        <v>55.551224007836872</v>
      </c>
      <c r="D53">
        <f t="shared" si="0"/>
        <v>2.1000053989861343</v>
      </c>
      <c r="E53">
        <f t="shared" si="1"/>
        <v>57.651229406823006</v>
      </c>
      <c r="F53">
        <f t="shared" si="2"/>
        <v>2.1208957486630307</v>
      </c>
      <c r="G53">
        <f t="shared" si="3"/>
        <v>57.661674581661458</v>
      </c>
      <c r="H53">
        <f>G53 - Euler!E53</f>
        <v>2.2581272104396604</v>
      </c>
    </row>
    <row r="54" spans="1:8" x14ac:dyDescent="0.35">
      <c r="A54">
        <v>45</v>
      </c>
      <c r="B54">
        <f t="shared" si="4"/>
        <v>45</v>
      </c>
      <c r="C54">
        <f t="shared" si="5"/>
        <v>57.661674581661458</v>
      </c>
      <c r="D54">
        <f t="shared" si="0"/>
        <v>2.1209956918108008</v>
      </c>
      <c r="E54">
        <f t="shared" si="1"/>
        <v>59.782670273472256</v>
      </c>
      <c r="F54">
        <f t="shared" si="2"/>
        <v>2.1405018937714972</v>
      </c>
      <c r="G54">
        <f t="shared" si="3"/>
        <v>59.792423374452611</v>
      </c>
      <c r="H54">
        <f>G54 - Euler!E54</f>
        <v>2.2904003296346289</v>
      </c>
    </row>
    <row r="55" spans="1:8" x14ac:dyDescent="0.35">
      <c r="A55">
        <v>46</v>
      </c>
      <c r="B55">
        <f t="shared" si="4"/>
        <v>46</v>
      </c>
      <c r="C55">
        <f t="shared" si="5"/>
        <v>59.792423374452611</v>
      </c>
      <c r="D55">
        <f t="shared" si="0"/>
        <v>2.140588021513536</v>
      </c>
      <c r="E55">
        <f t="shared" si="1"/>
        <v>61.933011395966147</v>
      </c>
      <c r="F55">
        <f t="shared" si="2"/>
        <v>2.1587238534504278</v>
      </c>
      <c r="G55">
        <f t="shared" si="3"/>
        <v>61.942079311934592</v>
      </c>
      <c r="H55">
        <f>G55 - Euler!E55</f>
        <v>2.3205923996028517</v>
      </c>
    </row>
    <row r="56" spans="1:8" x14ac:dyDescent="0.35">
      <c r="A56">
        <v>47</v>
      </c>
      <c r="B56">
        <f t="shared" si="4"/>
        <v>47</v>
      </c>
      <c r="C56">
        <f t="shared" si="5"/>
        <v>61.942079311934592</v>
      </c>
      <c r="D56">
        <f t="shared" si="0"/>
        <v>2.1587974784611292</v>
      </c>
      <c r="E56">
        <f t="shared" si="1"/>
        <v>64.100876790395716</v>
      </c>
      <c r="F56">
        <f t="shared" si="2"/>
        <v>2.1755786666590033</v>
      </c>
      <c r="G56">
        <f t="shared" si="3"/>
        <v>64.109267384494657</v>
      </c>
      <c r="H56">
        <f>G56 - Euler!E56</f>
        <v>2.3487066238294432</v>
      </c>
    </row>
    <row r="57" spans="1:8" x14ac:dyDescent="0.35">
      <c r="A57">
        <v>48</v>
      </c>
      <c r="B57">
        <f t="shared" si="4"/>
        <v>48</v>
      </c>
      <c r="C57">
        <f t="shared" si="5"/>
        <v>64.109267384494657</v>
      </c>
      <c r="D57">
        <f t="shared" si="0"/>
        <v>2.1756410302011226</v>
      </c>
      <c r="E57">
        <f t="shared" si="1"/>
        <v>66.284908414695778</v>
      </c>
      <c r="F57">
        <f t="shared" si="2"/>
        <v>2.1910850873102974</v>
      </c>
      <c r="G57">
        <f t="shared" si="3"/>
        <v>66.292630443250374</v>
      </c>
      <c r="H57">
        <f>G57 - Euler!E57</f>
        <v>2.3747510781736381</v>
      </c>
    </row>
    <row r="58" spans="1:8" x14ac:dyDescent="0.35">
      <c r="A58">
        <v>49</v>
      </c>
      <c r="B58">
        <f t="shared" si="4"/>
        <v>49</v>
      </c>
      <c r="C58">
        <f t="shared" si="5"/>
        <v>66.292630443250374</v>
      </c>
      <c r="D58">
        <f t="shared" si="0"/>
        <v>2.1911373611175087</v>
      </c>
      <c r="E58">
        <f t="shared" si="1"/>
        <v>68.483767804367886</v>
      </c>
      <c r="F58">
        <f t="shared" si="2"/>
        <v>2.2052634307940329</v>
      </c>
      <c r="G58">
        <f t="shared" si="3"/>
        <v>68.49083083920614</v>
      </c>
      <c r="H58">
        <f>G58 - Euler!E58</f>
        <v>2.3987383827607687</v>
      </c>
    </row>
    <row r="59" spans="1:8" x14ac:dyDescent="0.35">
      <c r="A59">
        <v>50</v>
      </c>
      <c r="B59">
        <f t="shared" si="4"/>
        <v>50</v>
      </c>
      <c r="C59">
        <f t="shared" si="5"/>
        <v>68.49083083920614</v>
      </c>
      <c r="D59">
        <f t="shared" si="0"/>
        <v>2.2053067190688949</v>
      </c>
      <c r="E59">
        <f t="shared" si="1"/>
        <v>70.696137558275041</v>
      </c>
      <c r="F59">
        <f t="shared" si="2"/>
        <v>2.2181354274670708</v>
      </c>
      <c r="G59">
        <f t="shared" si="3"/>
        <v>70.702551912474121</v>
      </c>
      <c r="H59">
        <f>G59 - Euler!E59</f>
        <v>2.4206853813826399</v>
      </c>
    </row>
    <row r="60" spans="1:8" x14ac:dyDescent="0.35">
      <c r="A60">
        <v>51</v>
      </c>
      <c r="B60">
        <f t="shared" si="4"/>
        <v>51</v>
      </c>
      <c r="C60">
        <f t="shared" si="5"/>
        <v>70.702551912474121</v>
      </c>
      <c r="D60">
        <f t="shared" si="0"/>
        <v>2.218170768970261</v>
      </c>
      <c r="E60">
        <f t="shared" si="1"/>
        <v>72.920722681444389</v>
      </c>
      <c r="F60">
        <f t="shared" si="2"/>
        <v>2.2297240830407987</v>
      </c>
      <c r="G60">
        <f t="shared" si="3"/>
        <v>72.926499338479644</v>
      </c>
      <c r="H60">
        <f>G60 - Euler!E60</f>
        <v>2.4406128292743858</v>
      </c>
    </row>
    <row r="61" spans="1:8" x14ac:dyDescent="0.35">
      <c r="A61">
        <v>52</v>
      </c>
      <c r="B61">
        <f t="shared" si="4"/>
        <v>52</v>
      </c>
      <c r="C61">
        <f t="shared" si="5"/>
        <v>72.926499338479644</v>
      </c>
      <c r="D61">
        <f t="shared" si="0"/>
        <v>2.2297524532500925</v>
      </c>
      <c r="E61">
        <f t="shared" si="1"/>
        <v>75.15625179172973</v>
      </c>
      <c r="F61">
        <f t="shared" si="2"/>
        <v>2.2400535457694959</v>
      </c>
      <c r="G61">
        <f t="shared" si="3"/>
        <v>75.161402337989443</v>
      </c>
      <c r="H61">
        <f>G61 - Euler!E61</f>
        <v>2.4585450899894425</v>
      </c>
    </row>
    <row r="62" spans="1:8" x14ac:dyDescent="0.35">
      <c r="A62">
        <v>53</v>
      </c>
      <c r="B62">
        <f t="shared" si="4"/>
        <v>53</v>
      </c>
      <c r="C62">
        <f t="shared" si="5"/>
        <v>75.161402337989443</v>
      </c>
      <c r="D62">
        <f t="shared" si="0"/>
        <v>2.2400758590893948</v>
      </c>
      <c r="E62">
        <f t="shared" si="1"/>
        <v>77.401478197078845</v>
      </c>
      <c r="F62">
        <f t="shared" si="2"/>
        <v>2.2491489803224054</v>
      </c>
      <c r="G62">
        <f t="shared" si="3"/>
        <v>77.406014757695345</v>
      </c>
      <c r="H62">
        <f>G62 - Euler!E62</f>
        <v>2.4745098419610656</v>
      </c>
    </row>
    <row r="63" spans="1:8" x14ac:dyDescent="0.35">
      <c r="A63">
        <v>54</v>
      </c>
      <c r="B63">
        <f t="shared" si="4"/>
        <v>54</v>
      </c>
      <c r="C63">
        <f t="shared" si="5"/>
        <v>77.406014757695345</v>
      </c>
      <c r="D63">
        <f t="shared" si="0"/>
        <v>2.2491660923275014</v>
      </c>
      <c r="E63">
        <f t="shared" si="1"/>
        <v>79.655180850022845</v>
      </c>
      <c r="F63">
        <f t="shared" si="2"/>
        <v>2.2570364482040026</v>
      </c>
      <c r="G63">
        <f t="shared" si="3"/>
        <v>79.65911602796109</v>
      </c>
      <c r="H63">
        <f>G63 - Euler!E63</f>
        <v>2.4885377952192016</v>
      </c>
    </row>
    <row r="64" spans="1:8" x14ac:dyDescent="0.35">
      <c r="A64">
        <v>55</v>
      </c>
      <c r="B64">
        <f t="shared" si="4"/>
        <v>55</v>
      </c>
      <c r="C64">
        <f t="shared" si="5"/>
        <v>79.65911602796109</v>
      </c>
      <c r="D64">
        <f t="shared" si="0"/>
        <v>2.2570491579010934</v>
      </c>
      <c r="E64">
        <f t="shared" si="1"/>
        <v>81.916165185862184</v>
      </c>
      <c r="F64">
        <f t="shared" si="2"/>
        <v>2.2637427945717468</v>
      </c>
      <c r="G64">
        <f t="shared" si="3"/>
        <v>81.919512004197514</v>
      </c>
      <c r="H64">
        <f>G64 - Euler!E64</f>
        <v>2.5006624186230937</v>
      </c>
    </row>
    <row r="65" spans="1:8" x14ac:dyDescent="0.35">
      <c r="A65">
        <v>56</v>
      </c>
      <c r="B65">
        <f t="shared" si="4"/>
        <v>56</v>
      </c>
      <c r="C65">
        <f t="shared" si="5"/>
        <v>81.919512004197514</v>
      </c>
      <c r="D65">
        <f t="shared" si="0"/>
        <v>2.2637518466676143</v>
      </c>
      <c r="E65">
        <f t="shared" si="1"/>
        <v>84.183263850865131</v>
      </c>
      <c r="F65">
        <f t="shared" si="2"/>
        <v>2.2692955412880047</v>
      </c>
      <c r="G65">
        <f t="shared" si="3"/>
        <v>84.186035698175317</v>
      </c>
      <c r="H65">
        <f>G65 - Euler!E65</f>
        <v>2.5109196778736447</v>
      </c>
    </row>
    <row r="66" spans="1:8" x14ac:dyDescent="0.35">
      <c r="A66">
        <v>57</v>
      </c>
      <c r="B66">
        <f t="shared" si="4"/>
        <v>57</v>
      </c>
      <c r="C66">
        <f t="shared" si="5"/>
        <v>84.186035698175317</v>
      </c>
      <c r="D66">
        <f t="shared" si="0"/>
        <v>2.2693016284513106</v>
      </c>
      <c r="E66">
        <f t="shared" si="1"/>
        <v>86.455337326626633</v>
      </c>
      <c r="F66">
        <f t="shared" si="2"/>
        <v>2.2737227860325508</v>
      </c>
      <c r="G66">
        <f t="shared" si="3"/>
        <v>86.457547905417243</v>
      </c>
      <c r="H66">
        <f>G66 - Euler!E66</f>
        <v>2.5193477844828749</v>
      </c>
    </row>
    <row r="67" spans="1:8" x14ac:dyDescent="0.35">
      <c r="A67">
        <v>58</v>
      </c>
      <c r="B67">
        <f t="shared" si="4"/>
        <v>58</v>
      </c>
      <c r="C67">
        <f t="shared" si="5"/>
        <v>86.457547905417243</v>
      </c>
      <c r="D67">
        <f t="shared" si="0"/>
        <v>2.273726551139823</v>
      </c>
      <c r="E67">
        <f t="shared" si="1"/>
        <v>88.73127445655706</v>
      </c>
      <c r="F67">
        <f t="shared" si="2"/>
        <v>2.2770531072939111</v>
      </c>
      <c r="G67">
        <f t="shared" si="3"/>
        <v>88.732937734634106</v>
      </c>
      <c r="H67">
        <f>G67 - Euler!E67</f>
        <v>2.5259869558008461</v>
      </c>
    </row>
    <row r="68" spans="1:8" x14ac:dyDescent="0.35">
      <c r="A68">
        <v>59</v>
      </c>
      <c r="B68">
        <f t="shared" si="4"/>
        <v>59</v>
      </c>
      <c r="C68">
        <f t="shared" si="5"/>
        <v>88.732937734634106</v>
      </c>
      <c r="D68">
        <f t="shared" si="0"/>
        <v>2.2770551456509223</v>
      </c>
      <c r="E68">
        <f t="shared" si="1"/>
        <v>91.009992880285026</v>
      </c>
      <c r="F68">
        <f t="shared" si="2"/>
        <v>2.2793154750515039</v>
      </c>
      <c r="G68">
        <f t="shared" si="3"/>
        <v>91.011123044985325</v>
      </c>
      <c r="H68">
        <f>G68 - Euler!E68</f>
        <v>2.5308791861321254</v>
      </c>
    </row>
    <row r="69" spans="1:8" x14ac:dyDescent="0.35">
      <c r="A69">
        <v>60</v>
      </c>
      <c r="B69">
        <f t="shared" si="4"/>
        <v>60</v>
      </c>
      <c r="C69">
        <f t="shared" si="5"/>
        <v>91.011123044985325</v>
      </c>
      <c r="D69">
        <f t="shared" si="0"/>
        <v>2.2793163365825726</v>
      </c>
      <c r="E69">
        <f t="shared" si="1"/>
        <v>93.290439381567893</v>
      </c>
      <c r="F69">
        <f t="shared" si="2"/>
        <v>2.280539166955962</v>
      </c>
      <c r="G69">
        <f t="shared" si="3"/>
        <v>93.29105079675459</v>
      </c>
      <c r="H69">
        <f>G69 - Euler!E69</f>
        <v>2.5340680289137225</v>
      </c>
    </row>
    <row r="70" spans="1:8" x14ac:dyDescent="0.35">
      <c r="A70">
        <v>61</v>
      </c>
      <c r="B70">
        <f t="shared" si="4"/>
        <v>61</v>
      </c>
      <c r="C70">
        <f t="shared" si="5"/>
        <v>93.29105079675459</v>
      </c>
      <c r="D70">
        <f t="shared" si="0"/>
        <v>2.2805393583547393</v>
      </c>
      <c r="E70">
        <f t="shared" si="1"/>
        <v>95.571590155109334</v>
      </c>
      <c r="F70">
        <f t="shared" si="2"/>
        <v>2.2807536898118279</v>
      </c>
      <c r="G70">
        <f t="shared" si="3"/>
        <v>95.57169732083787</v>
      </c>
      <c r="H70">
        <f>G70 - Euler!E70</f>
        <v>2.5355983898737975</v>
      </c>
    </row>
    <row r="71" spans="1:8" x14ac:dyDescent="0.35">
      <c r="A71">
        <v>62</v>
      </c>
      <c r="B71">
        <f t="shared" si="4"/>
        <v>62</v>
      </c>
      <c r="C71">
        <f t="shared" si="5"/>
        <v>95.57169732083787</v>
      </c>
      <c r="D71">
        <f t="shared" si="0"/>
        <v>2.28075367664816</v>
      </c>
      <c r="E71">
        <f t="shared" si="1"/>
        <v>97.852450997486031</v>
      </c>
      <c r="F71">
        <f t="shared" si="2"/>
        <v>2.2799887061649864</v>
      </c>
      <c r="G71">
        <f t="shared" si="3"/>
        <v>97.852068512244443</v>
      </c>
      <c r="H71">
        <f>G71 - Euler!E71</f>
        <v>2.5355163310438229</v>
      </c>
    </row>
    <row r="72" spans="1:8" x14ac:dyDescent="0.35">
      <c r="A72">
        <v>63</v>
      </c>
      <c r="B72">
        <f t="shared" si="4"/>
        <v>63</v>
      </c>
      <c r="C72">
        <f t="shared" si="5"/>
        <v>97.852068512244443</v>
      </c>
      <c r="D72">
        <f t="shared" si="0"/>
        <v>2.2799889149433272</v>
      </c>
      <c r="E72">
        <f t="shared" si="1"/>
        <v>100.13205742718777</v>
      </c>
      <c r="F72">
        <f t="shared" si="2"/>
        <v>2.2782739657965303</v>
      </c>
      <c r="G72">
        <f t="shared" si="3"/>
        <v>100.13119995261437</v>
      </c>
      <c r="H72">
        <f>G72 - Euler!E72</f>
        <v>2.5338688854576361</v>
      </c>
    </row>
    <row r="73" spans="1:8" x14ac:dyDescent="0.35">
      <c r="A73">
        <v>64</v>
      </c>
      <c r="B73">
        <f t="shared" si="4"/>
        <v>64</v>
      </c>
      <c r="C73">
        <f t="shared" si="5"/>
        <v>100.13119995261437</v>
      </c>
      <c r="D73">
        <f t="shared" ref="D73:D136" si="6">$B$2 * POWER(C73,3/4) * (1 - POWER(C73/$B$4,1/4))</f>
        <v>2.2782747859621191</v>
      </c>
      <c r="E73">
        <f t="shared" ref="E73:E136" si="7">C73 + $B$3 * D73</f>
        <v>102.40947473857649</v>
      </c>
      <c r="F73">
        <f t="shared" ref="F73:F136" si="8">$B$2 * POWER(E73,3/4) * (1 - POWER(E73/$B$4,1/4))</f>
        <v>2.2756392419250298</v>
      </c>
      <c r="G73">
        <f t="shared" ref="G73:G136" si="9">C73 + ($B$3/2) * (D73 + F73)</f>
        <v>102.40815696655794</v>
      </c>
      <c r="H73">
        <f>G73 - Euler!E73</f>
        <v>2.5307038823360131</v>
      </c>
    </row>
    <row r="74" spans="1:8" x14ac:dyDescent="0.35">
      <c r="A74">
        <v>65</v>
      </c>
      <c r="B74">
        <f t="shared" ref="B74:B137" si="10">B73 + $B$3</f>
        <v>65</v>
      </c>
      <c r="C74">
        <f t="shared" ref="C74:C137" si="11">G73</f>
        <v>102.40815696655794</v>
      </c>
      <c r="D74">
        <f t="shared" si="6"/>
        <v>2.2756410278148196</v>
      </c>
      <c r="E74">
        <f t="shared" si="7"/>
        <v>104.68379799437275</v>
      </c>
      <c r="F74">
        <f t="shared" si="8"/>
        <v>2.2721142719204193</v>
      </c>
      <c r="G74">
        <f t="shared" si="9"/>
        <v>104.68203461642555</v>
      </c>
      <c r="H74">
        <f>G74 - Euler!E74</f>
        <v>2.5260697825264913</v>
      </c>
    </row>
    <row r="75" spans="1:8" x14ac:dyDescent="0.35">
      <c r="A75">
        <v>66</v>
      </c>
      <c r="B75">
        <f t="shared" si="10"/>
        <v>66</v>
      </c>
      <c r="C75">
        <f t="shared" si="11"/>
        <v>104.68203461642555</v>
      </c>
      <c r="D75">
        <f t="shared" si="6"/>
        <v>2.2721173446563245</v>
      </c>
      <c r="E75">
        <f t="shared" si="7"/>
        <v>106.95415196108188</v>
      </c>
      <c r="F75">
        <f t="shared" si="8"/>
        <v>2.2677287023346344</v>
      </c>
      <c r="G75">
        <f t="shared" si="9"/>
        <v>106.95195763992103</v>
      </c>
      <c r="H75">
        <f>G75 - Euler!E75</f>
        <v>2.5200155239434423</v>
      </c>
    </row>
    <row r="76" spans="1:8" x14ac:dyDescent="0.35">
      <c r="A76">
        <v>67</v>
      </c>
      <c r="B76">
        <f t="shared" si="10"/>
        <v>67</v>
      </c>
      <c r="C76">
        <f t="shared" si="11"/>
        <v>106.95195763992103</v>
      </c>
      <c r="D76">
        <f t="shared" si="6"/>
        <v>2.2677333516572529</v>
      </c>
      <c r="E76">
        <f t="shared" si="7"/>
        <v>109.21969099157829</v>
      </c>
      <c r="F76">
        <f t="shared" si="8"/>
        <v>2.2625120380567574</v>
      </c>
      <c r="G76">
        <f t="shared" si="9"/>
        <v>109.21708033477803</v>
      </c>
      <c r="H76">
        <f>G76 - Euler!E76</f>
        <v>2.5125903767331152</v>
      </c>
    </row>
    <row r="77" spans="1:8" x14ac:dyDescent="0.35">
      <c r="A77">
        <v>68</v>
      </c>
      <c r="B77">
        <f t="shared" si="10"/>
        <v>68</v>
      </c>
      <c r="C77">
        <f t="shared" si="11"/>
        <v>109.21708033477803</v>
      </c>
      <c r="D77">
        <f t="shared" si="6"/>
        <v>2.2625185240982293</v>
      </c>
      <c r="E77">
        <f t="shared" si="7"/>
        <v>111.47959885887626</v>
      </c>
      <c r="F77">
        <f t="shared" si="8"/>
        <v>2.2564935954036422</v>
      </c>
      <c r="G77">
        <f t="shared" si="9"/>
        <v>111.47658639452897</v>
      </c>
      <c r="H77">
        <f>G77 - Euler!E77</f>
        <v>2.5038438078718883</v>
      </c>
    </row>
    <row r="78" spans="1:8" x14ac:dyDescent="0.35">
      <c r="A78">
        <v>69</v>
      </c>
      <c r="B78">
        <f t="shared" si="10"/>
        <v>69</v>
      </c>
      <c r="C78">
        <f t="shared" si="11"/>
        <v>111.47658639452897</v>
      </c>
      <c r="D78">
        <f t="shared" si="6"/>
        <v>2.2565021503987324</v>
      </c>
      <c r="E78">
        <f t="shared" si="7"/>
        <v>113.7330885449277</v>
      </c>
      <c r="F78">
        <f t="shared" si="8"/>
        <v>2.2497024589606283</v>
      </c>
      <c r="G78">
        <f t="shared" si="9"/>
        <v>113.72968869920865</v>
      </c>
      <c r="H78">
        <f>G78 - Euler!E78</f>
        <v>2.4938253548924934</v>
      </c>
    </row>
    <row r="79" spans="1:8" x14ac:dyDescent="0.35">
      <c r="A79">
        <v>70</v>
      </c>
      <c r="B79">
        <f t="shared" si="10"/>
        <v>70</v>
      </c>
      <c r="C79">
        <f t="shared" si="11"/>
        <v>113.72968869920865</v>
      </c>
      <c r="D79">
        <f t="shared" si="6"/>
        <v>2.2497132888955274</v>
      </c>
      <c r="E79">
        <f t="shared" si="7"/>
        <v>115.97940198810417</v>
      </c>
      <c r="F79">
        <f t="shared" si="8"/>
        <v>2.2421674419909965</v>
      </c>
      <c r="G79">
        <f t="shared" si="9"/>
        <v>115.97562906465191</v>
      </c>
      <c r="H79">
        <f>G79 - Euler!E79</f>
        <v>2.4825845084232157</v>
      </c>
    </row>
    <row r="80" spans="1:8" x14ac:dyDescent="0.35">
      <c r="A80">
        <v>71</v>
      </c>
      <c r="B80">
        <f t="shared" si="10"/>
        <v>71</v>
      </c>
      <c r="C80">
        <f t="shared" si="11"/>
        <v>115.97562906465191</v>
      </c>
      <c r="D80">
        <f t="shared" si="6"/>
        <v>2.2421807281896826</v>
      </c>
      <c r="E80">
        <f t="shared" si="7"/>
        <v>118.21780979284159</v>
      </c>
      <c r="F80">
        <f t="shared" si="8"/>
        <v>2.2339170502373009</v>
      </c>
      <c r="G80">
        <f t="shared" si="9"/>
        <v>118.2136779538654</v>
      </c>
      <c r="H80">
        <f>G80 - Euler!E80</f>
        <v>2.4701706032175395</v>
      </c>
    </row>
    <row r="81" spans="1:8" x14ac:dyDescent="0.35">
      <c r="A81">
        <v>72</v>
      </c>
      <c r="B81">
        <f t="shared" si="10"/>
        <v>72</v>
      </c>
      <c r="C81">
        <f t="shared" si="11"/>
        <v>118.2136779538654</v>
      </c>
      <c r="D81">
        <f t="shared" si="6"/>
        <v>2.2339329508855879</v>
      </c>
      <c r="E81">
        <f t="shared" si="7"/>
        <v>120.44761090475099</v>
      </c>
      <c r="F81">
        <f t="shared" si="8"/>
        <v>2.2249794489422867</v>
      </c>
      <c r="G81">
        <f t="shared" si="9"/>
        <v>120.44313415377934</v>
      </c>
      <c r="H81">
        <f>G81 - Euler!E81</f>
        <v>2.4566327173466789</v>
      </c>
    </row>
    <row r="82" spans="1:8" x14ac:dyDescent="0.35">
      <c r="A82">
        <v>73</v>
      </c>
      <c r="B82">
        <f t="shared" si="10"/>
        <v>73</v>
      </c>
      <c r="C82">
        <f t="shared" si="11"/>
        <v>120.44313415377934</v>
      </c>
      <c r="D82">
        <f t="shared" si="6"/>
        <v>2.2249981005499935</v>
      </c>
      <c r="E82">
        <f t="shared" si="7"/>
        <v>122.66813225432934</v>
      </c>
      <c r="F82">
        <f t="shared" si="8"/>
        <v>2.215382432922103</v>
      </c>
      <c r="G82">
        <f t="shared" si="9"/>
        <v>122.66332442051539</v>
      </c>
      <c r="H82">
        <f>G82 - Euler!E82</f>
        <v>2.442019579224862</v>
      </c>
    </row>
    <row r="83" spans="1:8" x14ac:dyDescent="0.35">
      <c r="A83">
        <v>74</v>
      </c>
      <c r="B83">
        <f t="shared" si="10"/>
        <v>74</v>
      </c>
      <c r="C83">
        <f t="shared" si="11"/>
        <v>122.66332442051539</v>
      </c>
      <c r="D83">
        <f t="shared" si="6"/>
        <v>2.2154039517239457</v>
      </c>
      <c r="E83">
        <f t="shared" si="7"/>
        <v>124.87872837223934</v>
      </c>
      <c r="F83">
        <f t="shared" si="8"/>
        <v>2.2051533995294781</v>
      </c>
      <c r="G83">
        <f t="shared" si="9"/>
        <v>124.87360309614211</v>
      </c>
      <c r="H83">
        <f>G83 - Euler!E83</f>
        <v>2.4263794821364115</v>
      </c>
    </row>
    <row r="84" spans="1:8" x14ac:dyDescent="0.35">
      <c r="A84">
        <v>75</v>
      </c>
      <c r="B84">
        <f t="shared" si="10"/>
        <v>75</v>
      </c>
      <c r="C84">
        <f t="shared" si="11"/>
        <v>124.87360309614211</v>
      </c>
      <c r="D84">
        <f t="shared" si="6"/>
        <v>2.2051778828255477</v>
      </c>
      <c r="E84">
        <f t="shared" si="7"/>
        <v>127.07878097896766</v>
      </c>
      <c r="F84">
        <f t="shared" si="8"/>
        <v>2.1943193243498329</v>
      </c>
      <c r="G84">
        <f t="shared" si="9"/>
        <v>127.0733516997298</v>
      </c>
      <c r="H84">
        <f>G84 - Euler!E84</f>
        <v>2.4097602059343046</v>
      </c>
    </row>
    <row r="85" spans="1:8" x14ac:dyDescent="0.35">
      <c r="A85">
        <v>76</v>
      </c>
      <c r="B85">
        <f t="shared" si="10"/>
        <v>76</v>
      </c>
      <c r="C85">
        <f t="shared" si="11"/>
        <v>127.0733516997298</v>
      </c>
      <c r="D85">
        <f t="shared" si="6"/>
        <v>2.1943468517866531</v>
      </c>
      <c r="E85">
        <f t="shared" si="7"/>
        <v>129.26769855151645</v>
      </c>
      <c r="F85">
        <f t="shared" si="8"/>
        <v>2.1829067394784714</v>
      </c>
      <c r="G85">
        <f t="shared" si="9"/>
        <v>129.26197849536237</v>
      </c>
      <c r="H85">
        <f>G85 - Euler!E85</f>
        <v>2.3922089455824107</v>
      </c>
    </row>
    <row r="86" spans="1:8" x14ac:dyDescent="0.35">
      <c r="A86">
        <v>77</v>
      </c>
      <c r="B86">
        <f t="shared" si="10"/>
        <v>77</v>
      </c>
      <c r="C86">
        <f t="shared" si="11"/>
        <v>129.26197849536237</v>
      </c>
      <c r="D86">
        <f t="shared" si="6"/>
        <v>2.1829373742717908</v>
      </c>
      <c r="E86">
        <f t="shared" si="7"/>
        <v>131.44491586963417</v>
      </c>
      <c r="F86">
        <f t="shared" si="8"/>
        <v>2.1709417142324243</v>
      </c>
      <c r="G86">
        <f t="shared" si="9"/>
        <v>131.43891803961446</v>
      </c>
      <c r="H86">
        <f>G86 - Euler!E86</f>
        <v>2.3737722462173281</v>
      </c>
    </row>
    <row r="87" spans="1:8" x14ac:dyDescent="0.35">
      <c r="A87">
        <v>78</v>
      </c>
      <c r="B87">
        <f t="shared" si="10"/>
        <v>78</v>
      </c>
      <c r="C87">
        <f t="shared" si="11"/>
        <v>131.43891803961446</v>
      </c>
      <c r="D87">
        <f t="shared" si="6"/>
        <v>2.1709755043330055</v>
      </c>
      <c r="E87">
        <f t="shared" si="7"/>
        <v>133.60989354394746</v>
      </c>
      <c r="F87">
        <f t="shared" si="8"/>
        <v>2.1584498381557848</v>
      </c>
      <c r="G87">
        <f t="shared" si="9"/>
        <v>133.60363071085885</v>
      </c>
      <c r="H87">
        <f>G87 - Euler!E87</f>
        <v>2.3544959444103313</v>
      </c>
    </row>
    <row r="88" spans="1:8" x14ac:dyDescent="0.35">
      <c r="A88">
        <v>79</v>
      </c>
      <c r="B88">
        <f t="shared" si="10"/>
        <v>79</v>
      </c>
      <c r="C88">
        <f t="shared" si="11"/>
        <v>133.60363071085885</v>
      </c>
      <c r="D88">
        <f t="shared" si="6"/>
        <v>2.1584868173595844</v>
      </c>
      <c r="E88">
        <f t="shared" si="7"/>
        <v>135.76211752821843</v>
      </c>
      <c r="F88">
        <f t="shared" si="8"/>
        <v>2.1454562061828062</v>
      </c>
      <c r="G88">
        <f t="shared" si="9"/>
        <v>135.75560222263005</v>
      </c>
      <c r="H88">
        <f>G88 - Euler!E88</f>
        <v>2.3344251153156677</v>
      </c>
    </row>
    <row r="89" spans="1:8" x14ac:dyDescent="0.35">
      <c r="A89">
        <v>80</v>
      </c>
      <c r="B89">
        <f t="shared" si="10"/>
        <v>80</v>
      </c>
      <c r="C89">
        <f t="shared" si="11"/>
        <v>135.75560222263005</v>
      </c>
      <c r="D89">
        <f t="shared" si="6"/>
        <v>2.1454963951869859</v>
      </c>
      <c r="E89">
        <f t="shared" si="7"/>
        <v>137.90109861781704</v>
      </c>
      <c r="F89">
        <f t="shared" si="8"/>
        <v>2.1319854058283036</v>
      </c>
      <c r="G89">
        <f t="shared" si="9"/>
        <v>137.8943431231377</v>
      </c>
      <c r="H89">
        <f>G89 - Euler!E89</f>
        <v>2.3136040253982344</v>
      </c>
    </row>
    <row r="90" spans="1:8" x14ac:dyDescent="0.35">
      <c r="A90">
        <v>81</v>
      </c>
      <c r="B90">
        <f t="shared" si="10"/>
        <v>81</v>
      </c>
      <c r="C90">
        <f t="shared" si="11"/>
        <v>137.8943431231377</v>
      </c>
      <c r="D90">
        <f t="shared" si="6"/>
        <v>2.1320288132345904</v>
      </c>
      <c r="E90">
        <f t="shared" si="7"/>
        <v>140.0263719363723</v>
      </c>
      <c r="F90">
        <f t="shared" si="8"/>
        <v>2.1180615062801924</v>
      </c>
      <c r="G90">
        <f t="shared" si="9"/>
        <v>140.01938828289508</v>
      </c>
      <c r="H90">
        <f>G90 - Euler!E90</f>
        <v>2.292076090440446</v>
      </c>
    </row>
    <row r="91" spans="1:8" x14ac:dyDescent="0.35">
      <c r="A91">
        <v>82</v>
      </c>
      <c r="B91">
        <f t="shared" si="10"/>
        <v>82</v>
      </c>
      <c r="C91">
        <f t="shared" si="11"/>
        <v>140.01938828289508</v>
      </c>
      <c r="D91">
        <f t="shared" si="6"/>
        <v>2.1181081295471835</v>
      </c>
      <c r="E91">
        <f t="shared" si="7"/>
        <v>142.13749641244226</v>
      </c>
      <c r="F91">
        <f t="shared" si="8"/>
        <v>2.1037080492742222</v>
      </c>
      <c r="G91">
        <f t="shared" si="9"/>
        <v>142.13029637230579</v>
      </c>
      <c r="H91">
        <f>G91 - Euler!E91</f>
        <v>2.2698838385367708</v>
      </c>
    </row>
    <row r="92" spans="1:8" x14ac:dyDescent="0.35">
      <c r="A92">
        <v>83</v>
      </c>
      <c r="B92">
        <f t="shared" si="10"/>
        <v>83</v>
      </c>
      <c r="C92">
        <f t="shared" si="11"/>
        <v>142.13029637230579</v>
      </c>
      <c r="D92">
        <f t="shared" si="6"/>
        <v>2.1037578756202135</v>
      </c>
      <c r="E92">
        <f t="shared" si="7"/>
        <v>144.234054247926</v>
      </c>
      <c r="F92">
        <f t="shared" si="8"/>
        <v>2.0889480416360739</v>
      </c>
      <c r="G92">
        <f t="shared" si="9"/>
        <v>144.22664933093392</v>
      </c>
      <c r="H92">
        <f>G92 - Euler!E92</f>
        <v>2.2470688777912642</v>
      </c>
    </row>
    <row r="93" spans="1:8" x14ac:dyDescent="0.35">
      <c r="A93">
        <v>84</v>
      </c>
      <c r="B93">
        <f t="shared" si="10"/>
        <v>84</v>
      </c>
      <c r="C93">
        <f t="shared" si="11"/>
        <v>144.22664933093392</v>
      </c>
      <c r="D93">
        <f t="shared" si="6"/>
        <v>2.089001048894088</v>
      </c>
      <c r="E93">
        <f t="shared" si="7"/>
        <v>146.31565037982801</v>
      </c>
      <c r="F93">
        <f t="shared" si="8"/>
        <v>2.0738039493810545</v>
      </c>
      <c r="G93">
        <f t="shared" si="9"/>
        <v>146.30805183007149</v>
      </c>
      <c r="H93">
        <f>G93 - Euler!E93</f>
        <v>2.2236718684440007</v>
      </c>
    </row>
    <row r="94" spans="1:8" x14ac:dyDescent="0.35">
      <c r="A94">
        <v>85</v>
      </c>
      <c r="B94">
        <f t="shared" si="10"/>
        <v>85</v>
      </c>
      <c r="C94">
        <f t="shared" si="11"/>
        <v>146.30805183007149</v>
      </c>
      <c r="D94">
        <f t="shared" si="6"/>
        <v>2.0738601068076812</v>
      </c>
      <c r="E94">
        <f t="shared" si="7"/>
        <v>148.38191193687916</v>
      </c>
      <c r="F94">
        <f t="shared" si="8"/>
        <v>2.0582976932665242</v>
      </c>
      <c r="G94">
        <f t="shared" si="9"/>
        <v>148.37413073010859</v>
      </c>
      <c r="H94">
        <f>G94 - Euler!E94</f>
        <v>2.199732499159154</v>
      </c>
    </row>
    <row r="95" spans="1:8" x14ac:dyDescent="0.35">
      <c r="A95">
        <v>86</v>
      </c>
      <c r="B95">
        <f t="shared" si="10"/>
        <v>86</v>
      </c>
      <c r="C95">
        <f t="shared" si="11"/>
        <v>148.37413073010859</v>
      </c>
      <c r="D95">
        <f t="shared" si="6"/>
        <v>2.0583569623062612</v>
      </c>
      <c r="E95">
        <f t="shared" si="7"/>
        <v>150.43248769241484</v>
      </c>
      <c r="F95">
        <f t="shared" si="8"/>
        <v>2.0424506456970497</v>
      </c>
      <c r="G95">
        <f t="shared" si="9"/>
        <v>150.42453453411025</v>
      </c>
      <c r="H95">
        <f>G95 - Euler!E95</f>
        <v>2.1752894672186187</v>
      </c>
    </row>
    <row r="96" spans="1:8" x14ac:dyDescent="0.35">
      <c r="A96">
        <v>87</v>
      </c>
      <c r="B96">
        <f t="shared" si="10"/>
        <v>87</v>
      </c>
      <c r="C96">
        <f t="shared" si="11"/>
        <v>150.42453453411025</v>
      </c>
      <c r="D96">
        <f t="shared" si="6"/>
        <v>2.0425129807037892</v>
      </c>
      <c r="E96">
        <f t="shared" si="7"/>
        <v>152.46704751481403</v>
      </c>
      <c r="F96">
        <f t="shared" si="8"/>
        <v>2.0262836288869606</v>
      </c>
      <c r="G96">
        <f t="shared" si="9"/>
        <v>152.45893283890564</v>
      </c>
      <c r="H96">
        <f>G96 - Euler!E96</f>
        <v>2.150380462372766</v>
      </c>
    </row>
    <row r="97" spans="1:8" x14ac:dyDescent="0.35">
      <c r="A97">
        <v>88</v>
      </c>
      <c r="B97">
        <f t="shared" si="10"/>
        <v>88</v>
      </c>
      <c r="C97">
        <f t="shared" si="11"/>
        <v>152.45893283890564</v>
      </c>
      <c r="D97">
        <f t="shared" si="6"/>
        <v>2.0263489778042691</v>
      </c>
      <c r="E97">
        <f t="shared" si="7"/>
        <v>154.48528181670991</v>
      </c>
      <c r="F97">
        <f t="shared" si="8"/>
        <v>2.0098169141895403</v>
      </c>
      <c r="G97">
        <f t="shared" si="9"/>
        <v>154.47701578490253</v>
      </c>
      <c r="H97">
        <f>G97 - Euler!E97</f>
        <v>2.1250421541102469</v>
      </c>
    </row>
    <row r="98" spans="1:8" x14ac:dyDescent="0.35">
      <c r="A98">
        <v>89</v>
      </c>
      <c r="B98">
        <f t="shared" si="10"/>
        <v>89</v>
      </c>
      <c r="C98">
        <f t="shared" si="11"/>
        <v>154.47701578490253</v>
      </c>
      <c r="D98">
        <f t="shared" si="6"/>
        <v>2.009885219191379</v>
      </c>
      <c r="E98">
        <f t="shared" si="7"/>
        <v>156.48690100409391</v>
      </c>
      <c r="F98">
        <f t="shared" si="8"/>
        <v>1.9930702225065928</v>
      </c>
      <c r="G98">
        <f t="shared" si="9"/>
        <v>156.47849350575152</v>
      </c>
      <c r="H98">
        <f>G98 - Euler!E98</f>
        <v>2.0993101821180176</v>
      </c>
    </row>
    <row r="99" spans="1:8" x14ac:dyDescent="0.35">
      <c r="A99">
        <v>90</v>
      </c>
      <c r="B99">
        <f t="shared" si="10"/>
        <v>90</v>
      </c>
      <c r="C99">
        <f t="shared" si="11"/>
        <v>156.47849350575152</v>
      </c>
      <c r="D99">
        <f t="shared" si="6"/>
        <v>1.9931414206000726</v>
      </c>
      <c r="E99">
        <f t="shared" si="7"/>
        <v>158.47163492635158</v>
      </c>
      <c r="F99">
        <f t="shared" si="8"/>
        <v>1.9760627256963519</v>
      </c>
      <c r="G99">
        <f t="shared" si="9"/>
        <v>158.46309557889973</v>
      </c>
      <c r="H99">
        <f>G99 - Euler!E99</f>
        <v>2.0732191497117753</v>
      </c>
    </row>
    <row r="100" spans="1:8" x14ac:dyDescent="0.35">
      <c r="A100">
        <v>91</v>
      </c>
      <c r="B100">
        <f t="shared" si="10"/>
        <v>91</v>
      </c>
      <c r="C100">
        <f t="shared" si="11"/>
        <v>158.46309557889973</v>
      </c>
      <c r="D100">
        <f t="shared" si="6"/>
        <v>1.9761367492881319</v>
      </c>
      <c r="E100">
        <f t="shared" si="7"/>
        <v>160.43923232818787</v>
      </c>
      <c r="F100">
        <f t="shared" si="8"/>
        <v>1.9588130489019311</v>
      </c>
      <c r="G100">
        <f t="shared" si="9"/>
        <v>160.43057047799476</v>
      </c>
      <c r="H100">
        <f>G100 - Euler!E100</f>
        <v>2.046802620026682</v>
      </c>
    </row>
    <row r="101" spans="1:8" x14ac:dyDescent="0.35">
      <c r="A101">
        <v>92</v>
      </c>
      <c r="B101">
        <f t="shared" si="10"/>
        <v>92</v>
      </c>
      <c r="C101">
        <f t="shared" si="11"/>
        <v>160.43057047799476</v>
      </c>
      <c r="D101">
        <f t="shared" si="6"/>
        <v>1.9588898263298113</v>
      </c>
      <c r="E101">
        <f t="shared" si="7"/>
        <v>162.38946030432459</v>
      </c>
      <c r="F101">
        <f t="shared" si="8"/>
        <v>1.941339273726552</v>
      </c>
      <c r="G101">
        <f t="shared" si="9"/>
        <v>162.38068502802295</v>
      </c>
      <c r="H101">
        <f>G101 - Euler!E101</f>
        <v>2.0200931147675476</v>
      </c>
    </row>
    <row r="102" spans="1:8" x14ac:dyDescent="0.35">
      <c r="A102">
        <v>93</v>
      </c>
      <c r="B102">
        <f t="shared" si="10"/>
        <v>93</v>
      </c>
      <c r="C102">
        <f t="shared" si="11"/>
        <v>162.38068502802295</v>
      </c>
      <c r="D102">
        <f t="shared" si="6"/>
        <v>1.9414187297577914</v>
      </c>
      <c r="E102">
        <f t="shared" si="7"/>
        <v>164.32210375778075</v>
      </c>
      <c r="F102">
        <f t="shared" si="8"/>
        <v>1.9236589421856034</v>
      </c>
      <c r="G102">
        <f t="shared" si="9"/>
        <v>164.31322386399464</v>
      </c>
      <c r="H102">
        <f>G102 - Euler!E102</f>
        <v>1.9931221153264005</v>
      </c>
    </row>
    <row r="103" spans="1:8" x14ac:dyDescent="0.35">
      <c r="A103">
        <v>94</v>
      </c>
      <c r="B103">
        <f t="shared" si="10"/>
        <v>94</v>
      </c>
      <c r="C103">
        <f t="shared" si="11"/>
        <v>164.31322386399464</v>
      </c>
      <c r="D103">
        <f t="shared" si="6"/>
        <v>1.923740998483459</v>
      </c>
      <c r="E103">
        <f t="shared" si="7"/>
        <v>166.23696486247809</v>
      </c>
      <c r="F103">
        <f t="shared" si="8"/>
        <v>1.9057890613694575</v>
      </c>
      <c r="G103">
        <f t="shared" si="9"/>
        <v>166.22798889392109</v>
      </c>
      <c r="H103">
        <f>G103 - Euler!E103</f>
        <v>1.9659200660848626</v>
      </c>
    </row>
    <row r="104" spans="1:8" x14ac:dyDescent="0.35">
      <c r="A104">
        <v>95</v>
      </c>
      <c r="B104">
        <f t="shared" si="10"/>
        <v>95</v>
      </c>
      <c r="C104">
        <f t="shared" si="11"/>
        <v>166.22798889392109</v>
      </c>
      <c r="D104">
        <f t="shared" si="6"/>
        <v>1.9058736369293954</v>
      </c>
      <c r="E104">
        <f t="shared" si="7"/>
        <v>168.13386253085048</v>
      </c>
      <c r="F104">
        <f t="shared" si="8"/>
        <v>1.887746108754462</v>
      </c>
      <c r="G104">
        <f t="shared" si="9"/>
        <v>168.12479876676304</v>
      </c>
      <c r="H104">
        <f>G104 - Euler!E104</f>
        <v>1.9385163797267637</v>
      </c>
    </row>
    <row r="105" spans="1:8" x14ac:dyDescent="0.35">
      <c r="A105">
        <v>96</v>
      </c>
      <c r="B105">
        <f t="shared" si="10"/>
        <v>96</v>
      </c>
      <c r="C105">
        <f t="shared" si="11"/>
        <v>168.12479876676304</v>
      </c>
      <c r="D105">
        <f t="shared" si="6"/>
        <v>1.8878331203114809</v>
      </c>
      <c r="E105">
        <f t="shared" si="7"/>
        <v>170.01263188707452</v>
      </c>
      <c r="F105">
        <f t="shared" si="8"/>
        <v>1.8695460381030988</v>
      </c>
      <c r="G105">
        <f t="shared" si="9"/>
        <v>170.00348834597031</v>
      </c>
      <c r="H105">
        <f>G105 - Euler!E105</f>
        <v>1.9109394443958934</v>
      </c>
    </row>
    <row r="106" spans="1:8" x14ac:dyDescent="0.35">
      <c r="A106">
        <v>97</v>
      </c>
      <c r="B106">
        <f t="shared" si="10"/>
        <v>97</v>
      </c>
      <c r="C106">
        <f t="shared" si="11"/>
        <v>170.00348834597031</v>
      </c>
      <c r="D106">
        <f t="shared" si="6"/>
        <v>1.8696354005115157</v>
      </c>
      <c r="E106">
        <f t="shared" si="7"/>
        <v>171.87312374648184</v>
      </c>
      <c r="F106">
        <f t="shared" si="8"/>
        <v>1.8512042858975917</v>
      </c>
      <c r="G106">
        <f t="shared" si="9"/>
        <v>171.86390818917488</v>
      </c>
      <c r="H106">
        <f>G106 - Euler!E106</f>
        <v>1.8832166325417177</v>
      </c>
    </row>
    <row r="107" spans="1:8" x14ac:dyDescent="0.35">
      <c r="A107">
        <v>98</v>
      </c>
      <c r="B107">
        <f t="shared" si="10"/>
        <v>98</v>
      </c>
      <c r="C107">
        <f t="shared" si="11"/>
        <v>171.86390818917488</v>
      </c>
      <c r="D107">
        <f t="shared" si="6"/>
        <v>1.851295912484634</v>
      </c>
      <c r="E107">
        <f t="shared" si="7"/>
        <v>173.71520410165951</v>
      </c>
      <c r="F107">
        <f t="shared" si="8"/>
        <v>1.8327357782544249</v>
      </c>
      <c r="G107">
        <f t="shared" si="9"/>
        <v>173.70592403454441</v>
      </c>
      <c r="H107">
        <f>G107 - Euler!E107</f>
        <v>1.8553743113037342</v>
      </c>
    </row>
    <row r="108" spans="1:8" x14ac:dyDescent="0.35">
      <c r="A108">
        <v>99</v>
      </c>
      <c r="B108">
        <f t="shared" si="10"/>
        <v>99</v>
      </c>
      <c r="C108">
        <f t="shared" si="11"/>
        <v>173.70592403454441</v>
      </c>
      <c r="D108">
        <f t="shared" si="6"/>
        <v>1.8328295811489568</v>
      </c>
      <c r="E108">
        <f t="shared" si="7"/>
        <v>175.53875361569337</v>
      </c>
      <c r="F108">
        <f t="shared" si="8"/>
        <v>1.8141549382703772</v>
      </c>
      <c r="G108">
        <f t="shared" si="9"/>
        <v>175.52941629425408</v>
      </c>
      <c r="H108">
        <f>G108 - Euler!E108</f>
        <v>1.8274378542938052</v>
      </c>
    </row>
    <row r="109" spans="1:8" x14ac:dyDescent="0.35">
      <c r="A109">
        <v>100</v>
      </c>
      <c r="B109">
        <f t="shared" si="10"/>
        <v>100</v>
      </c>
      <c r="C109">
        <f t="shared" si="11"/>
        <v>175.52941629425408</v>
      </c>
      <c r="D109">
        <f t="shared" si="6"/>
        <v>1.8142508287079624</v>
      </c>
      <c r="E109">
        <f t="shared" si="7"/>
        <v>177.34366712296205</v>
      </c>
      <c r="F109">
        <f t="shared" si="8"/>
        <v>1.7954756937535645</v>
      </c>
      <c r="G109">
        <f t="shared" si="9"/>
        <v>177.33427955548484</v>
      </c>
      <c r="H109">
        <f>G109 - Euler!E109</f>
        <v>1.7994316546429729</v>
      </c>
    </row>
    <row r="110" spans="1:8" x14ac:dyDescent="0.35">
      <c r="A110">
        <v>101</v>
      </c>
      <c r="B110">
        <f t="shared" si="10"/>
        <v>101</v>
      </c>
      <c r="C110">
        <f t="shared" si="11"/>
        <v>177.33427955548484</v>
      </c>
      <c r="D110">
        <f t="shared" si="6"/>
        <v>1.7955735823591132</v>
      </c>
      <c r="E110">
        <f t="shared" si="7"/>
        <v>179.12985313784395</v>
      </c>
      <c r="F110">
        <f t="shared" si="8"/>
        <v>1.7767114852957717</v>
      </c>
      <c r="G110">
        <f t="shared" si="9"/>
        <v>179.12042208931229</v>
      </c>
      <c r="H110">
        <f>G110 - Euler!E110</f>
        <v>1.7713791391865925</v>
      </c>
    </row>
    <row r="111" spans="1:8" x14ac:dyDescent="0.35">
      <c r="A111">
        <v>102</v>
      </c>
      <c r="B111">
        <f t="shared" si="10"/>
        <v>102</v>
      </c>
      <c r="C111">
        <f t="shared" si="11"/>
        <v>179.12042208931229</v>
      </c>
      <c r="D111">
        <f t="shared" si="6"/>
        <v>1.7768112823449183</v>
      </c>
      <c r="E111">
        <f t="shared" si="7"/>
        <v>180.89723337165719</v>
      </c>
      <c r="F111">
        <f t="shared" si="8"/>
        <v>1.7578752746451305</v>
      </c>
      <c r="G111">
        <f t="shared" si="9"/>
        <v>180.8877653678073</v>
      </c>
      <c r="H111">
        <f>G111 - Euler!E111</f>
        <v>1.7433027836692929</v>
      </c>
    </row>
    <row r="112" spans="1:8" x14ac:dyDescent="0.35">
      <c r="A112">
        <v>103</v>
      </c>
      <c r="B112">
        <f t="shared" si="10"/>
        <v>103</v>
      </c>
      <c r="C112">
        <f t="shared" si="11"/>
        <v>180.8877653678073</v>
      </c>
      <c r="D112">
        <f t="shared" si="6"/>
        <v>1.7579768903054767</v>
      </c>
      <c r="E112">
        <f t="shared" si="7"/>
        <v>182.64574225811279</v>
      </c>
      <c r="F112">
        <f t="shared" si="8"/>
        <v>1.738979553340664</v>
      </c>
      <c r="G112">
        <f t="shared" si="9"/>
        <v>182.63624358963037</v>
      </c>
      <c r="H112">
        <f>G112 - Euler!E112</f>
        <v>1.7152241288576136</v>
      </c>
    </row>
    <row r="113" spans="1:8" x14ac:dyDescent="0.35">
      <c r="A113">
        <v>104</v>
      </c>
      <c r="B113">
        <f t="shared" si="10"/>
        <v>104</v>
      </c>
      <c r="C113">
        <f t="shared" si="11"/>
        <v>182.63624358963037</v>
      </c>
      <c r="D113">
        <f t="shared" si="6"/>
        <v>1.7390828978939741</v>
      </c>
      <c r="E113">
        <f t="shared" si="7"/>
        <v>184.37532648752435</v>
      </c>
      <c r="F113">
        <f t="shared" si="8"/>
        <v>1.7200363515727526</v>
      </c>
      <c r="G113">
        <f t="shared" si="9"/>
        <v>184.36580321436372</v>
      </c>
      <c r="H113">
        <f>G113 - Euler!E113</f>
        <v>1.6871637974553835</v>
      </c>
    </row>
    <row r="114" spans="1:8" x14ac:dyDescent="0.35">
      <c r="A114">
        <v>105</v>
      </c>
      <c r="B114">
        <f t="shared" si="10"/>
        <v>105</v>
      </c>
      <c r="C114">
        <f t="shared" si="11"/>
        <v>184.36580321436372</v>
      </c>
      <c r="D114">
        <f t="shared" si="6"/>
        <v>1.7201413356191155</v>
      </c>
      <c r="E114">
        <f t="shared" si="7"/>
        <v>186.08594454998283</v>
      </c>
      <c r="F114">
        <f t="shared" si="8"/>
        <v>1.7010572472358401</v>
      </c>
      <c r="G114">
        <f t="shared" si="9"/>
        <v>186.07640250579121</v>
      </c>
      <c r="H114">
        <f>G114 - Euler!E114</f>
        <v>1.6591415117228223</v>
      </c>
    </row>
    <row r="115" spans="1:8" x14ac:dyDescent="0.35">
      <c r="A115">
        <v>106</v>
      </c>
      <c r="B115">
        <f t="shared" si="10"/>
        <v>106</v>
      </c>
      <c r="C115">
        <f t="shared" si="11"/>
        <v>186.07640250579121</v>
      </c>
      <c r="D115">
        <f t="shared" si="6"/>
        <v>1.7011637818808321</v>
      </c>
      <c r="E115">
        <f t="shared" si="7"/>
        <v>187.77756628767204</v>
      </c>
      <c r="F115">
        <f t="shared" si="8"/>
        <v>1.6820533751419735</v>
      </c>
      <c r="G115">
        <f t="shared" si="9"/>
        <v>187.7680110843026</v>
      </c>
      <c r="H115">
        <f>G115 - Euler!E115</f>
        <v>1.6311761117065089</v>
      </c>
    </row>
    <row r="116" spans="1:8" x14ac:dyDescent="0.35">
      <c r="A116">
        <v>107</v>
      </c>
      <c r="B116">
        <f t="shared" si="10"/>
        <v>107</v>
      </c>
      <c r="C116">
        <f t="shared" si="11"/>
        <v>187.7680110843026</v>
      </c>
      <c r="D116">
        <f t="shared" si="6"/>
        <v>1.6821613721677435</v>
      </c>
      <c r="E116">
        <f t="shared" si="7"/>
        <v>189.45017245647034</v>
      </c>
      <c r="F116">
        <f t="shared" si="8"/>
        <v>1.6630354363658535</v>
      </c>
      <c r="G116">
        <f t="shared" si="9"/>
        <v>189.44060948856941</v>
      </c>
      <c r="H116">
        <f>G116 - Euler!E116</f>
        <v>1.6032855739939862</v>
      </c>
    </row>
    <row r="117" spans="1:8" x14ac:dyDescent="0.35">
      <c r="A117">
        <v>108</v>
      </c>
      <c r="B117">
        <f t="shared" si="10"/>
        <v>108</v>
      </c>
      <c r="C117">
        <f t="shared" si="11"/>
        <v>189.44060948856941</v>
      </c>
      <c r="D117">
        <f t="shared" si="6"/>
        <v>1.6631448083870763</v>
      </c>
      <c r="E117">
        <f t="shared" si="7"/>
        <v>191.10375429695648</v>
      </c>
      <c r="F117">
        <f t="shared" si="8"/>
        <v>1.6440137076940793</v>
      </c>
      <c r="G117">
        <f t="shared" si="9"/>
        <v>191.09418874660997</v>
      </c>
      <c r="H117">
        <f>G117 - Euler!E117</f>
        <v>1.5754870309111766</v>
      </c>
    </row>
    <row r="118" spans="1:8" x14ac:dyDescent="0.35">
      <c r="A118">
        <v>109</v>
      </c>
      <c r="B118">
        <f t="shared" si="10"/>
        <v>109</v>
      </c>
      <c r="C118">
        <f t="shared" si="11"/>
        <v>191.09418874660997</v>
      </c>
      <c r="D118">
        <f t="shared" si="6"/>
        <v>1.6441243682996349</v>
      </c>
      <c r="E118">
        <f t="shared" si="7"/>
        <v>192.7383131149096</v>
      </c>
      <c r="F118">
        <f t="shared" si="8"/>
        <v>1.6249980511532156</v>
      </c>
      <c r="G118">
        <f t="shared" si="9"/>
        <v>192.7287499563364</v>
      </c>
      <c r="H118">
        <f>G118 - Euler!E118</f>
        <v>1.5477967900873466</v>
      </c>
    </row>
    <row r="119" spans="1:8" x14ac:dyDescent="0.35">
      <c r="A119">
        <v>110</v>
      </c>
      <c r="B119">
        <f t="shared" si="10"/>
        <v>110</v>
      </c>
      <c r="C119">
        <f t="shared" si="11"/>
        <v>192.7287499563364</v>
      </c>
      <c r="D119">
        <f t="shared" si="6"/>
        <v>1.6251099150344626</v>
      </c>
      <c r="E119">
        <f t="shared" si="7"/>
        <v>194.35385987137087</v>
      </c>
      <c r="F119">
        <f t="shared" si="8"/>
        <v>1.6059979235930775</v>
      </c>
      <c r="G119">
        <f t="shared" si="9"/>
        <v>194.34430387565018</v>
      </c>
      <c r="H119">
        <f>G119 - Euler!E119</f>
        <v>1.5202303543165385</v>
      </c>
    </row>
    <row r="120" spans="1:8" x14ac:dyDescent="0.35">
      <c r="A120">
        <v>111</v>
      </c>
      <c r="B120">
        <f t="shared" si="10"/>
        <v>111</v>
      </c>
      <c r="C120">
        <f t="shared" si="11"/>
        <v>194.34430387565018</v>
      </c>
      <c r="D120">
        <f t="shared" si="6"/>
        <v>1.606110906659481</v>
      </c>
      <c r="E120">
        <f t="shared" si="7"/>
        <v>195.95041478230968</v>
      </c>
      <c r="F120">
        <f t="shared" si="8"/>
        <v>1.5870223863033814</v>
      </c>
      <c r="G120">
        <f t="shared" si="9"/>
        <v>195.9408705221316</v>
      </c>
      <c r="H120">
        <f>G120 - Euler!E120</f>
        <v>1.4928024416500989</v>
      </c>
    </row>
    <row r="121" spans="1:8" x14ac:dyDescent="0.35">
      <c r="A121">
        <v>112</v>
      </c>
      <c r="B121">
        <f t="shared" si="10"/>
        <v>112</v>
      </c>
      <c r="C121">
        <f t="shared" si="11"/>
        <v>195.9408705221316</v>
      </c>
      <c r="D121">
        <f t="shared" si="6"/>
        <v>1.5871364057862918</v>
      </c>
      <c r="E121">
        <f t="shared" si="7"/>
        <v>197.52800692791789</v>
      </c>
      <c r="F121">
        <f t="shared" si="8"/>
        <v>1.5680801146434988</v>
      </c>
      <c r="G121">
        <f t="shared" si="9"/>
        <v>197.51847878234651</v>
      </c>
      <c r="H121">
        <f>G121 - Euler!E121</f>
        <v>1.4655270056592542</v>
      </c>
    </row>
    <row r="122" spans="1:8" x14ac:dyDescent="0.35">
      <c r="A122">
        <v>113</v>
      </c>
      <c r="B122">
        <f t="shared" si="10"/>
        <v>113</v>
      </c>
      <c r="C122">
        <f t="shared" si="11"/>
        <v>197.51847878234651</v>
      </c>
      <c r="D122">
        <f t="shared" si="6"/>
        <v>1.568195089188819</v>
      </c>
      <c r="E122">
        <f t="shared" si="7"/>
        <v>199.08667387153531</v>
      </c>
      <c r="F122">
        <f t="shared" si="8"/>
        <v>1.5491794076666561</v>
      </c>
      <c r="G122">
        <f t="shared" si="9"/>
        <v>199.07716603077424</v>
      </c>
      <c r="H122">
        <f>G122 - Euler!E122</f>
        <v>1.4384172558105774</v>
      </c>
    </row>
    <row r="123" spans="1:8" x14ac:dyDescent="0.35">
      <c r="A123">
        <v>114</v>
      </c>
      <c r="B123">
        <f t="shared" si="10"/>
        <v>114</v>
      </c>
      <c r="C123">
        <f t="shared" si="11"/>
        <v>199.07716603077424</v>
      </c>
      <c r="D123">
        <f t="shared" si="6"/>
        <v>1.5492952574170658</v>
      </c>
      <c r="E123">
        <f t="shared" si="7"/>
        <v>200.62646128819131</v>
      </c>
      <c r="F123">
        <f t="shared" si="8"/>
        <v>1.530328197721305</v>
      </c>
      <c r="G123">
        <f t="shared" si="9"/>
        <v>200.61697775834341</v>
      </c>
      <c r="H123">
        <f>G123 - Euler!E123</f>
        <v>1.4114856779027889</v>
      </c>
    </row>
    <row r="124" spans="1:8" x14ac:dyDescent="0.35">
      <c r="A124">
        <v>115</v>
      </c>
      <c r="B124">
        <f t="shared" si="10"/>
        <v>115</v>
      </c>
      <c r="C124">
        <f t="shared" si="11"/>
        <v>200.61697775834341</v>
      </c>
      <c r="D124">
        <f t="shared" si="6"/>
        <v>1.5304448443887235</v>
      </c>
      <c r="E124">
        <f t="shared" si="7"/>
        <v>202.14742260273212</v>
      </c>
      <c r="F124">
        <f t="shared" si="8"/>
        <v>1.5115340600138283</v>
      </c>
      <c r="G124">
        <f t="shared" si="9"/>
        <v>202.13796721054467</v>
      </c>
      <c r="H124">
        <f>G124 - Euler!E124</f>
        <v>1.3847440545157781</v>
      </c>
    </row>
    <row r="125" spans="1:8" x14ac:dyDescent="0.35">
      <c r="A125">
        <v>116</v>
      </c>
      <c r="B125">
        <f t="shared" si="10"/>
        <v>116</v>
      </c>
      <c r="C125">
        <f t="shared" si="11"/>
        <v>202.13796721054467</v>
      </c>
      <c r="D125">
        <f t="shared" si="6"/>
        <v>1.5116514269427472</v>
      </c>
      <c r="E125">
        <f t="shared" si="7"/>
        <v>203.64961863748741</v>
      </c>
      <c r="F125">
        <f t="shared" si="8"/>
        <v>1.4928042221180016</v>
      </c>
      <c r="G125">
        <f t="shared" si="9"/>
        <v>203.64019503507504</v>
      </c>
      <c r="H125">
        <f>G125 - Euler!E125</f>
        <v>1.3582034854277651</v>
      </c>
    </row>
    <row r="126" spans="1:8" x14ac:dyDescent="0.35">
      <c r="A126">
        <v>117</v>
      </c>
      <c r="B126">
        <f t="shared" si="10"/>
        <v>117</v>
      </c>
      <c r="C126">
        <f t="shared" si="11"/>
        <v>203.64019503507504</v>
      </c>
      <c r="D126">
        <f t="shared" si="6"/>
        <v>1.4929222343402877</v>
      </c>
      <c r="E126">
        <f t="shared" si="7"/>
        <v>205.13311726941532</v>
      </c>
      <c r="F126">
        <f t="shared" si="8"/>
        <v>1.4741455734179212</v>
      </c>
      <c r="G126">
        <f t="shared" si="9"/>
        <v>205.12372893895414</v>
      </c>
      <c r="H126">
        <f>G126 - Euler!E126</f>
        <v>1.331874407959333</v>
      </c>
    </row>
    <row r="127" spans="1:8" x14ac:dyDescent="0.35">
      <c r="A127">
        <v>118</v>
      </c>
      <c r="B127">
        <f t="shared" si="10"/>
        <v>118</v>
      </c>
      <c r="C127">
        <f t="shared" si="11"/>
        <v>205.12372893895414</v>
      </c>
      <c r="D127">
        <f t="shared" si="6"/>
        <v>1.4742641576996491</v>
      </c>
      <c r="E127">
        <f t="shared" si="7"/>
        <v>206.59799309665379</v>
      </c>
      <c r="F127">
        <f t="shared" si="8"/>
        <v>1.4555646744721784</v>
      </c>
      <c r="G127">
        <f t="shared" si="9"/>
        <v>206.58864335504006</v>
      </c>
      <c r="H127">
        <f>G127 - Euler!E127</f>
        <v>1.3057666172068991</v>
      </c>
    </row>
    <row r="128" spans="1:8" x14ac:dyDescent="0.35">
      <c r="A128">
        <v>119</v>
      </c>
      <c r="B128">
        <f t="shared" si="10"/>
        <v>119</v>
      </c>
      <c r="C128">
        <f t="shared" si="11"/>
        <v>206.58864335504006</v>
      </c>
      <c r="D128">
        <f t="shared" si="6"/>
        <v>1.4556837593530505</v>
      </c>
      <c r="E128">
        <f t="shared" si="7"/>
        <v>208.04432711439313</v>
      </c>
      <c r="F128">
        <f t="shared" si="8"/>
        <v>1.4370677662882403</v>
      </c>
      <c r="G128">
        <f t="shared" si="9"/>
        <v>208.03501911786071</v>
      </c>
      <c r="H128">
        <f>G128 - Euler!E128</f>
        <v>1.2798892861313789</v>
      </c>
    </row>
    <row r="129" spans="1:8" x14ac:dyDescent="0.35">
      <c r="A129">
        <v>120</v>
      </c>
      <c r="B129">
        <f t="shared" si="10"/>
        <v>120</v>
      </c>
      <c r="C129">
        <f t="shared" si="11"/>
        <v>208.03501911786071</v>
      </c>
      <c r="D129">
        <f t="shared" si="6"/>
        <v>1.4371872821141005</v>
      </c>
      <c r="E129">
        <f t="shared" si="7"/>
        <v>209.47220639997482</v>
      </c>
      <c r="F129">
        <f t="shared" si="8"/>
        <v>1.418660779496983</v>
      </c>
      <c r="G129">
        <f t="shared" si="9"/>
        <v>209.46294314866626</v>
      </c>
      <c r="H129">
        <f>G129 - Euler!E129</f>
        <v>1.254250985470577</v>
      </c>
    </row>
    <row r="130" spans="1:8" x14ac:dyDescent="0.35">
      <c r="A130">
        <v>121</v>
      </c>
      <c r="B130">
        <f t="shared" si="10"/>
        <v>121</v>
      </c>
      <c r="C130">
        <f t="shared" si="11"/>
        <v>209.46294314866626</v>
      </c>
      <c r="D130">
        <f t="shared" si="6"/>
        <v>1.4187806584459044</v>
      </c>
      <c r="E130">
        <f t="shared" si="7"/>
        <v>210.88172380711217</v>
      </c>
      <c r="F130">
        <f t="shared" si="8"/>
        <v>1.4003493434182681</v>
      </c>
      <c r="G130">
        <f t="shared" si="9"/>
        <v>210.87250814959833</v>
      </c>
      <c r="H130">
        <f>G130 - Euler!E130</f>
        <v>1.2288597034469717</v>
      </c>
    </row>
    <row r="131" spans="1:8" x14ac:dyDescent="0.35">
      <c r="A131">
        <v>122</v>
      </c>
      <c r="B131">
        <f t="shared" si="10"/>
        <v>122</v>
      </c>
      <c r="C131">
        <f t="shared" si="11"/>
        <v>210.87250814959833</v>
      </c>
      <c r="D131">
        <f t="shared" si="6"/>
        <v>1.4004695195206931</v>
      </c>
      <c r="E131">
        <f t="shared" si="7"/>
        <v>212.27297766911903</v>
      </c>
      <c r="F131">
        <f t="shared" si="8"/>
        <v>1.3821387950094262</v>
      </c>
      <c r="G131">
        <f t="shared" si="9"/>
        <v>212.2638123068634</v>
      </c>
      <c r="H131">
        <f>G131 - Euler!E131</f>
        <v>1.2037228652452256</v>
      </c>
    </row>
    <row r="132" spans="1:8" x14ac:dyDescent="0.35">
      <c r="A132">
        <v>123</v>
      </c>
      <c r="B132">
        <f t="shared" si="10"/>
        <v>123</v>
      </c>
      <c r="C132">
        <f t="shared" si="11"/>
        <v>212.2638123068634</v>
      </c>
      <c r="D132">
        <f t="shared" si="6"/>
        <v>1.3822592041627841</v>
      </c>
      <c r="E132">
        <f t="shared" si="7"/>
        <v>213.64607151102618</v>
      </c>
      <c r="F132">
        <f t="shared" si="8"/>
        <v>1.3640341876892979</v>
      </c>
      <c r="G132">
        <f t="shared" si="9"/>
        <v>213.63695900278944</v>
      </c>
      <c r="H132">
        <f>G132 - Euler!E132</f>
        <v>1.1788473522361187</v>
      </c>
    </row>
    <row r="133" spans="1:8" x14ac:dyDescent="0.35">
      <c r="A133">
        <v>124</v>
      </c>
      <c r="B133">
        <f t="shared" si="10"/>
        <v>124</v>
      </c>
      <c r="C133">
        <f t="shared" si="11"/>
        <v>213.63695900278944</v>
      </c>
      <c r="D133">
        <f t="shared" si="6"/>
        <v>1.3641547676675079</v>
      </c>
      <c r="E133">
        <f t="shared" si="7"/>
        <v>215.00111377045695</v>
      </c>
      <c r="F133">
        <f t="shared" si="8"/>
        <v>1.3460403000313121</v>
      </c>
      <c r="G133">
        <f t="shared" si="9"/>
        <v>214.99205653663884</v>
      </c>
      <c r="H133">
        <f>G133 - Euler!E133</f>
        <v>1.1542395209262963</v>
      </c>
    </row>
    <row r="134" spans="1:8" x14ac:dyDescent="0.35">
      <c r="A134">
        <v>125</v>
      </c>
      <c r="B134">
        <f t="shared" si="10"/>
        <v>125</v>
      </c>
      <c r="C134">
        <f t="shared" si="11"/>
        <v>214.99205653663884</v>
      </c>
      <c r="D134">
        <f t="shared" si="6"/>
        <v>1.3461609904895897</v>
      </c>
      <c r="E134">
        <f t="shared" si="7"/>
        <v>216.33821752712842</v>
      </c>
      <c r="F134">
        <f t="shared" si="8"/>
        <v>1.3281616443198652</v>
      </c>
      <c r="G134">
        <f t="shared" si="9"/>
        <v>216.32921785404358</v>
      </c>
      <c r="H134">
        <f>G134 - Euler!E134</f>
        <v>1.1299052216151892</v>
      </c>
    </row>
    <row r="135" spans="1:8" x14ac:dyDescent="0.35">
      <c r="A135">
        <v>126</v>
      </c>
      <c r="B135">
        <f t="shared" si="10"/>
        <v>126</v>
      </c>
      <c r="C135">
        <f t="shared" si="11"/>
        <v>216.32921785404358</v>
      </c>
      <c r="D135">
        <f t="shared" si="6"/>
        <v>1.328282386795153</v>
      </c>
      <c r="E135">
        <f t="shared" si="7"/>
        <v>217.65750024083874</v>
      </c>
      <c r="F135">
        <f t="shared" si="8"/>
        <v>1.3104024749648631</v>
      </c>
      <c r="G135">
        <f t="shared" si="9"/>
        <v>217.64856028492358</v>
      </c>
      <c r="H135">
        <f>G135 - Euler!E135</f>
        <v>1.1058498167426478</v>
      </c>
    </row>
    <row r="136" spans="1:8" x14ac:dyDescent="0.35">
      <c r="A136">
        <v>127</v>
      </c>
      <c r="B136">
        <f t="shared" si="10"/>
        <v>127</v>
      </c>
      <c r="C136">
        <f t="shared" si="11"/>
        <v>217.64856028492358</v>
      </c>
      <c r="D136">
        <f t="shared" si="6"/>
        <v>1.3105232128722974</v>
      </c>
      <c r="E136">
        <f t="shared" si="7"/>
        <v>218.95908349779586</v>
      </c>
      <c r="F136">
        <f t="shared" si="8"/>
        <v>1.2927667967700844</v>
      </c>
      <c r="G136">
        <f t="shared" si="9"/>
        <v>218.95020528974476</v>
      </c>
      <c r="H136">
        <f>G136 - Euler!E136</f>
        <v>1.0820781989130239</v>
      </c>
    </row>
    <row r="137" spans="1:8" x14ac:dyDescent="0.35">
      <c r="A137">
        <v>128</v>
      </c>
      <c r="B137">
        <f t="shared" si="10"/>
        <v>128</v>
      </c>
      <c r="C137">
        <f t="shared" si="11"/>
        <v>218.95020528974476</v>
      </c>
      <c r="D137">
        <f t="shared" ref="D137:D200" si="12">$B$2 * POWER(C137,3/4) * (1 - POWER(C137/$B$4,1/4))</f>
        <v>1.2928874753957655</v>
      </c>
      <c r="E137">
        <f t="shared" ref="E137:E200" si="13">C137 + $B$3 * D137</f>
        <v>220.24309276514052</v>
      </c>
      <c r="F137">
        <f t="shared" ref="F137:F200" si="14">$B$2 * POWER(E137,3/4) * (1 - POWER(E137/$B$4,1/4))</f>
        <v>1.2752583730515226</v>
      </c>
      <c r="G137">
        <f t="shared" ref="G137:G200" si="15">C137 + ($B$3/2) * (D137 + F137)</f>
        <v>220.23427821396839</v>
      </c>
      <c r="H137">
        <f>G137 - Euler!E137</f>
        <v>1.0585948085828534</v>
      </c>
    </row>
    <row r="138" spans="1:8" x14ac:dyDescent="0.35">
      <c r="A138">
        <v>129</v>
      </c>
      <c r="B138">
        <f t="shared" ref="B138:B201" si="16">B137 + $B$3</f>
        <v>129</v>
      </c>
      <c r="C138">
        <f t="shared" ref="C138:C201" si="17">G137</f>
        <v>220.23427821396839</v>
      </c>
      <c r="D138">
        <f t="shared" si="12"/>
        <v>1.2753789395419308</v>
      </c>
      <c r="E138">
        <f t="shared" si="13"/>
        <v>221.50965715351032</v>
      </c>
      <c r="F138">
        <f t="shared" si="14"/>
        <v>1.2578807336024638</v>
      </c>
      <c r="G138">
        <f t="shared" si="15"/>
        <v>221.5009080505406</v>
      </c>
      <c r="H138">
        <f>G138 - Euler!E138</f>
        <v>1.0354036514014808</v>
      </c>
    </row>
    <row r="139" spans="1:8" x14ac:dyDescent="0.35">
      <c r="A139">
        <v>130</v>
      </c>
      <c r="B139">
        <f t="shared" si="16"/>
        <v>130</v>
      </c>
      <c r="C139">
        <f t="shared" si="17"/>
        <v>221.5009080505406</v>
      </c>
      <c r="D139">
        <f t="shared" si="12"/>
        <v>1.2580011369508199</v>
      </c>
      <c r="E139">
        <f t="shared" si="13"/>
        <v>222.75890918749141</v>
      </c>
      <c r="F139">
        <f t="shared" si="14"/>
        <v>1.2406371825026665</v>
      </c>
      <c r="G139">
        <f t="shared" si="15"/>
        <v>222.75022721026735</v>
      </c>
      <c r="H139">
        <f>G139 - Euler!E139</f>
        <v>1.012508315195106</v>
      </c>
    </row>
    <row r="140" spans="1:8" x14ac:dyDescent="0.35">
      <c r="A140">
        <v>131</v>
      </c>
      <c r="B140">
        <f t="shared" si="16"/>
        <v>131</v>
      </c>
      <c r="C140">
        <f t="shared" si="17"/>
        <v>222.75022721026735</v>
      </c>
      <c r="D140">
        <f t="shared" si="12"/>
        <v>1.2407573735324877</v>
      </c>
      <c r="E140">
        <f t="shared" si="13"/>
        <v>223.99098458379984</v>
      </c>
      <c r="F140">
        <f t="shared" si="14"/>
        <v>1.2235308057693672</v>
      </c>
      <c r="G140">
        <f t="shared" si="15"/>
        <v>223.98237129991827</v>
      </c>
      <c r="H140">
        <f>G140 - Euler!E140</f>
        <v>0.98991198658683288</v>
      </c>
    </row>
    <row r="141" spans="1:8" x14ac:dyDescent="0.35">
      <c r="A141">
        <v>132</v>
      </c>
      <c r="B141">
        <f t="shared" si="16"/>
        <v>132</v>
      </c>
      <c r="C141">
        <f t="shared" si="17"/>
        <v>223.98237129991827</v>
      </c>
      <c r="D141">
        <f t="shared" si="12"/>
        <v>1.2236507371154792</v>
      </c>
      <c r="E141">
        <f t="shared" si="13"/>
        <v>225.20602203703376</v>
      </c>
      <c r="F141">
        <f t="shared" si="14"/>
        <v>1.2065644788484216</v>
      </c>
      <c r="G141">
        <f t="shared" si="15"/>
        <v>225.19747890790023</v>
      </c>
      <c r="H141">
        <f>G141 - Euler!E141</f>
        <v>0.96761746724604336</v>
      </c>
    </row>
    <row r="142" spans="1:8" x14ac:dyDescent="0.35">
      <c r="A142">
        <v>133</v>
      </c>
      <c r="B142">
        <f t="shared" si="16"/>
        <v>133</v>
      </c>
      <c r="C142">
        <f t="shared" si="17"/>
        <v>225.19747890790023</v>
      </c>
      <c r="D142">
        <f t="shared" si="12"/>
        <v>1.20668410493569</v>
      </c>
      <c r="E142">
        <f t="shared" si="13"/>
        <v>226.40416301283594</v>
      </c>
      <c r="F142">
        <f t="shared" si="14"/>
        <v>1.1897408739442437</v>
      </c>
      <c r="G142">
        <f t="shared" si="15"/>
        <v>226.39569139734019</v>
      </c>
      <c r="H142">
        <f>G142 - Euler!E142</f>
        <v>0.94562718976195015</v>
      </c>
    </row>
    <row r="143" spans="1:8" x14ac:dyDescent="0.35">
      <c r="A143">
        <v>134</v>
      </c>
      <c r="B143">
        <f t="shared" si="16"/>
        <v>134</v>
      </c>
      <c r="C143">
        <f t="shared" si="17"/>
        <v>226.39569139734019</v>
      </c>
      <c r="D143">
        <f t="shared" si="12"/>
        <v>1.1898601509642412</v>
      </c>
      <c r="E143">
        <f t="shared" si="13"/>
        <v>227.58555154830444</v>
      </c>
      <c r="F143">
        <f t="shared" si="14"/>
        <v>1.1730624671876708</v>
      </c>
      <c r="G143">
        <f t="shared" si="15"/>
        <v>227.57715270641614</v>
      </c>
      <c r="H143">
        <f>G143 - Euler!E143</f>
        <v>0.92394323313789073</v>
      </c>
    </row>
    <row r="144" spans="1:8" x14ac:dyDescent="0.35">
      <c r="A144">
        <v>135</v>
      </c>
      <c r="B144">
        <f t="shared" si="16"/>
        <v>135</v>
      </c>
      <c r="C144">
        <f t="shared" si="17"/>
        <v>227.57715270641614</v>
      </c>
      <c r="D144">
        <f t="shared" si="12"/>
        <v>1.1731813530734669</v>
      </c>
      <c r="E144">
        <f t="shared" si="13"/>
        <v>228.7503340594896</v>
      </c>
      <c r="F144">
        <f t="shared" si="14"/>
        <v>1.1565315456411194</v>
      </c>
      <c r="G144">
        <f t="shared" si="15"/>
        <v>228.74200915577345</v>
      </c>
      <c r="H144">
        <f>G144 - Euler!E144</f>
        <v>0.90256733790306498</v>
      </c>
    </row>
    <row r="145" spans="1:8" x14ac:dyDescent="0.35">
      <c r="A145">
        <v>136</v>
      </c>
      <c r="B145">
        <f t="shared" si="16"/>
        <v>136</v>
      </c>
      <c r="C145">
        <f t="shared" si="17"/>
        <v>228.74200915577345</v>
      </c>
      <c r="D145">
        <f t="shared" si="12"/>
        <v>1.1566500000404494</v>
      </c>
      <c r="E145">
        <f t="shared" si="13"/>
        <v>229.8986591558139</v>
      </c>
      <c r="F145">
        <f t="shared" si="14"/>
        <v>1.140150214140937</v>
      </c>
      <c r="G145">
        <f t="shared" si="15"/>
        <v>229.89040926286413</v>
      </c>
      <c r="H145">
        <f>G145 - Euler!E145</f>
        <v>0.88150092084040921</v>
      </c>
    </row>
    <row r="146" spans="1:8" x14ac:dyDescent="0.35">
      <c r="A146">
        <v>137</v>
      </c>
      <c r="B146">
        <f t="shared" si="16"/>
        <v>137</v>
      </c>
      <c r="C146">
        <f t="shared" si="17"/>
        <v>229.89040926286413</v>
      </c>
      <c r="D146">
        <f t="shared" si="12"/>
        <v>1.1402681983878724</v>
      </c>
      <c r="E146">
        <f t="shared" si="13"/>
        <v>231.030677461252</v>
      </c>
      <c r="F146">
        <f t="shared" si="14"/>
        <v>1.1239204019769458</v>
      </c>
      <c r="G146">
        <f t="shared" si="15"/>
        <v>231.02250356304654</v>
      </c>
      <c r="H146">
        <f>G146 - Euler!E146</f>
        <v>0.86074508932949811</v>
      </c>
    </row>
    <row r="147" spans="1:8" x14ac:dyDescent="0.35">
      <c r="A147">
        <v>138</v>
      </c>
      <c r="B147">
        <f t="shared" si="16"/>
        <v>138</v>
      </c>
      <c r="C147">
        <f t="shared" si="17"/>
        <v>231.02250356304654</v>
      </c>
      <c r="D147">
        <f t="shared" si="12"/>
        <v>1.1240378790622971</v>
      </c>
      <c r="E147">
        <f t="shared" si="13"/>
        <v>232.14654144210883</v>
      </c>
      <c r="F147">
        <f t="shared" si="14"/>
        <v>1.1078438694096502</v>
      </c>
      <c r="G147">
        <f t="shared" si="15"/>
        <v>232.13844443728252</v>
      </c>
      <c r="H147">
        <f>G147 - Euler!E147</f>
        <v>0.84030065530464526</v>
      </c>
    </row>
    <row r="148" spans="1:8" x14ac:dyDescent="0.35">
      <c r="A148">
        <v>139</v>
      </c>
      <c r="B148">
        <f t="shared" si="16"/>
        <v>139</v>
      </c>
      <c r="C148">
        <f t="shared" si="17"/>
        <v>232.13844443728252</v>
      </c>
      <c r="D148">
        <f t="shared" si="12"/>
        <v>1.1079608039502249</v>
      </c>
      <c r="E148">
        <f t="shared" si="13"/>
        <v>233.24640524123274</v>
      </c>
      <c r="F148">
        <f t="shared" si="14"/>
        <v>1.0919222140257134</v>
      </c>
      <c r="G148">
        <f t="shared" si="15"/>
        <v>233.23838594627048</v>
      </c>
      <c r="H148">
        <f>G148 - Euler!E148</f>
        <v>0.82016814882928202</v>
      </c>
    </row>
    <row r="149" spans="1:8" x14ac:dyDescent="0.35">
      <c r="A149">
        <v>140</v>
      </c>
      <c r="B149">
        <f t="shared" si="16"/>
        <v>140</v>
      </c>
      <c r="C149">
        <f t="shared" si="17"/>
        <v>233.23838594627048</v>
      </c>
      <c r="D149">
        <f t="shared" si="12"/>
        <v>1.0920385722326025</v>
      </c>
      <c r="E149">
        <f t="shared" si="13"/>
        <v>234.33042451850309</v>
      </c>
      <c r="F149">
        <f t="shared" si="14"/>
        <v>1.0761568769326255</v>
      </c>
      <c r="G149">
        <f t="shared" si="15"/>
        <v>234.3224836708531</v>
      </c>
      <c r="H149">
        <f>G149 - Euler!E149</f>
        <v>0.80034783128795084</v>
      </c>
    </row>
    <row r="150" spans="1:8" x14ac:dyDescent="0.35">
      <c r="A150">
        <v>141</v>
      </c>
      <c r="B150">
        <f t="shared" si="16"/>
        <v>141</v>
      </c>
      <c r="C150">
        <f t="shared" si="17"/>
        <v>234.3224836708531</v>
      </c>
      <c r="D150">
        <f t="shared" si="12"/>
        <v>1.076272626578652</v>
      </c>
      <c r="E150">
        <f t="shared" si="13"/>
        <v>235.39875629743176</v>
      </c>
      <c r="F150">
        <f t="shared" si="14"/>
        <v>1.060549148793668</v>
      </c>
      <c r="G150">
        <f t="shared" si="15"/>
        <v>235.39089455853926</v>
      </c>
      <c r="H150">
        <f>G150 - Euler!E150</f>
        <v>0.78083970819827186</v>
      </c>
    </row>
    <row r="151" spans="1:8" x14ac:dyDescent="0.35">
      <c r="A151">
        <v>142</v>
      </c>
      <c r="B151">
        <f t="shared" si="16"/>
        <v>142</v>
      </c>
      <c r="C151">
        <f t="shared" si="17"/>
        <v>235.39089455853926</v>
      </c>
      <c r="D151">
        <f t="shared" si="12"/>
        <v>1.0606642591801425</v>
      </c>
      <c r="E151">
        <f t="shared" si="13"/>
        <v>236.45155881771939</v>
      </c>
      <c r="F151">
        <f t="shared" si="14"/>
        <v>1.0451001757045226</v>
      </c>
      <c r="G151">
        <f t="shared" si="15"/>
        <v>236.4437767759816</v>
      </c>
      <c r="H151">
        <f>G151 - Euler!E151</f>
        <v>0.7616435416459808</v>
      </c>
    </row>
    <row r="152" spans="1:8" x14ac:dyDescent="0.35">
      <c r="A152">
        <v>143</v>
      </c>
      <c r="B152">
        <f t="shared" si="16"/>
        <v>143</v>
      </c>
      <c r="C152">
        <f t="shared" si="17"/>
        <v>236.4437767759816</v>
      </c>
      <c r="D152">
        <f t="shared" si="12"/>
        <v>1.0452146176274</v>
      </c>
      <c r="E152">
        <f t="shared" si="13"/>
        <v>237.48899139360901</v>
      </c>
      <c r="F152">
        <f t="shared" si="14"/>
        <v>1.0298109649129694</v>
      </c>
      <c r="G152">
        <f t="shared" si="15"/>
        <v>237.48128956725179</v>
      </c>
      <c r="H152">
        <f>G152 - Euler!E152</f>
        <v>0.74275886234610766</v>
      </c>
    </row>
    <row r="153" spans="1:8" x14ac:dyDescent="0.35">
      <c r="A153">
        <v>144</v>
      </c>
      <c r="B153">
        <f t="shared" si="16"/>
        <v>144</v>
      </c>
      <c r="C153">
        <f t="shared" si="17"/>
        <v>237.48128956725179</v>
      </c>
      <c r="D153">
        <f t="shared" si="12"/>
        <v>1.0299247106285638</v>
      </c>
      <c r="E153">
        <f t="shared" si="13"/>
        <v>238.51121427788036</v>
      </c>
      <c r="F153">
        <f t="shared" si="14"/>
        <v>1.014682390383431</v>
      </c>
      <c r="G153">
        <f t="shared" si="15"/>
        <v>238.50359311775779</v>
      </c>
      <c r="H153">
        <f>G153 - Euler!E153</f>
        <v>0.72418498133473008</v>
      </c>
    </row>
    <row r="154" spans="1:8" x14ac:dyDescent="0.35">
      <c r="A154">
        <v>145</v>
      </c>
      <c r="B154">
        <f t="shared" si="16"/>
        <v>145</v>
      </c>
      <c r="C154">
        <f t="shared" si="17"/>
        <v>238.50359311775779</v>
      </c>
      <c r="D154">
        <f t="shared" si="12"/>
        <v>1.0147954135737443</v>
      </c>
      <c r="E154">
        <f t="shared" si="13"/>
        <v>239.51838853133154</v>
      </c>
      <c r="F154">
        <f t="shared" si="14"/>
        <v>0.99971519820809396</v>
      </c>
      <c r="G154">
        <f t="shared" si="15"/>
        <v>239.5108484236487</v>
      </c>
      <c r="H154">
        <f>G154 - Euler!E154</f>
        <v>0.70592100129530877</v>
      </c>
    </row>
    <row r="155" spans="1:8" x14ac:dyDescent="0.35">
      <c r="A155">
        <v>146</v>
      </c>
      <c r="B155">
        <f t="shared" si="16"/>
        <v>146</v>
      </c>
      <c r="C155">
        <f t="shared" si="17"/>
        <v>239.5108484236487</v>
      </c>
      <c r="D155">
        <f t="shared" si="12"/>
        <v>0.99982747394589633</v>
      </c>
      <c r="E155">
        <f t="shared" si="13"/>
        <v>240.51067589759458</v>
      </c>
      <c r="F155">
        <f t="shared" si="14"/>
        <v>0.98491001186662253</v>
      </c>
      <c r="G155">
        <f t="shared" si="15"/>
        <v>240.50321716655495</v>
      </c>
      <c r="H155">
        <f>G155 - Euler!E155</f>
        <v>0.68796582752455038</v>
      </c>
    </row>
    <row r="156" spans="1:8" x14ac:dyDescent="0.35">
      <c r="A156">
        <v>147</v>
      </c>
      <c r="B156">
        <f t="shared" si="16"/>
        <v>147</v>
      </c>
      <c r="C156">
        <f t="shared" si="17"/>
        <v>240.50321716655495</v>
      </c>
      <c r="D156">
        <f t="shared" si="12"/>
        <v>0.98502151658036186</v>
      </c>
      <c r="E156">
        <f t="shared" si="13"/>
        <v>241.48823868313531</v>
      </c>
      <c r="F156">
        <f t="shared" si="14"/>
        <v>0.97026733733651749</v>
      </c>
      <c r="G156">
        <f t="shared" si="15"/>
        <v>241.4808615935134</v>
      </c>
      <c r="H156">
        <f>G156 - Euler!E156</f>
        <v>0.67031817854314113</v>
      </c>
    </row>
    <row r="157" spans="1:8" x14ac:dyDescent="0.35">
      <c r="A157">
        <v>148</v>
      </c>
      <c r="B157">
        <f t="shared" si="16"/>
        <v>148</v>
      </c>
      <c r="C157">
        <f t="shared" si="17"/>
        <v>241.4808615935134</v>
      </c>
      <c r="D157">
        <f t="shared" si="12"/>
        <v>0.97037804877513856</v>
      </c>
      <c r="E157">
        <f t="shared" si="13"/>
        <v>242.45123964228853</v>
      </c>
      <c r="F157">
        <f t="shared" si="14"/>
        <v>0.95578756805629728</v>
      </c>
      <c r="G157">
        <f t="shared" si="15"/>
        <v>242.44394440192912</v>
      </c>
      <c r="H157">
        <f>G157 - Euler!E157</f>
        <v>0.6529765963564671</v>
      </c>
    </row>
    <row r="158" spans="1:8" x14ac:dyDescent="0.35">
      <c r="A158">
        <v>149</v>
      </c>
      <c r="B158">
        <f t="shared" si="16"/>
        <v>149</v>
      </c>
      <c r="C158">
        <f t="shared" si="17"/>
        <v>242.44394440192912</v>
      </c>
      <c r="D158">
        <f t="shared" si="12"/>
        <v>0.95589746525404462</v>
      </c>
      <c r="E158">
        <f t="shared" si="13"/>
        <v>243.39984186718317</v>
      </c>
      <c r="F158">
        <f t="shared" si="14"/>
        <v>0.94147098974379051</v>
      </c>
      <c r="G158">
        <f t="shared" si="15"/>
        <v>243.39262862942803</v>
      </c>
      <c r="H158">
        <f>G158 - Euler!E158</f>
        <v>0.63593945637165916</v>
      </c>
    </row>
    <row r="159" spans="1:8" x14ac:dyDescent="0.35">
      <c r="A159">
        <v>150</v>
      </c>
      <c r="B159">
        <f t="shared" si="16"/>
        <v>150</v>
      </c>
      <c r="C159">
        <f t="shared" si="17"/>
        <v>243.39262862942803</v>
      </c>
      <c r="D159">
        <f t="shared" si="12"/>
        <v>0.94158005298507164</v>
      </c>
      <c r="E159">
        <f t="shared" si="13"/>
        <v>244.33420868241311</v>
      </c>
      <c r="F159">
        <f t="shared" si="14"/>
        <v>0.927317785071892</v>
      </c>
      <c r="G159">
        <f t="shared" si="15"/>
        <v>244.32707754845651</v>
      </c>
      <c r="H159">
        <f>G159 - Euler!E159</f>
        <v>0.61920497697647647</v>
      </c>
    </row>
    <row r="160" spans="1:8" x14ac:dyDescent="0.35">
      <c r="A160">
        <v>151</v>
      </c>
      <c r="B160">
        <f t="shared" si="16"/>
        <v>151</v>
      </c>
      <c r="C160">
        <f t="shared" si="17"/>
        <v>244.32707754845651</v>
      </c>
      <c r="D160">
        <f t="shared" si="12"/>
        <v>0.92742599585626617</v>
      </c>
      <c r="E160">
        <f t="shared" si="13"/>
        <v>245.25450354431277</v>
      </c>
      <c r="F160">
        <f t="shared" si="14"/>
        <v>0.9133280382042015</v>
      </c>
      <c r="G160">
        <f t="shared" si="15"/>
        <v>245.24745456548675</v>
      </c>
      <c r="H160">
        <f>G160 - Euler!E160</f>
        <v>0.60277122878650857</v>
      </c>
    </row>
    <row r="161" spans="1:8" x14ac:dyDescent="0.35">
      <c r="A161">
        <v>152</v>
      </c>
      <c r="B161">
        <f t="shared" si="16"/>
        <v>152</v>
      </c>
      <c r="C161">
        <f t="shared" si="17"/>
        <v>245.24745456548675</v>
      </c>
      <c r="D161">
        <f t="shared" si="12"/>
        <v>0.91343537921155515</v>
      </c>
      <c r="E161">
        <f t="shared" si="13"/>
        <v>246.16088994469831</v>
      </c>
      <c r="F161">
        <f t="shared" si="14"/>
        <v>0.89950173919306964</v>
      </c>
      <c r="G161">
        <f t="shared" si="15"/>
        <v>246.15392312468907</v>
      </c>
      <c r="H161">
        <f>G161 - Euler!E161</f>
        <v>0.58663614356720473</v>
      </c>
    </row>
    <row r="162" spans="1:8" x14ac:dyDescent="0.35">
      <c r="A162">
        <v>153</v>
      </c>
      <c r="B162">
        <f t="shared" si="16"/>
        <v>153</v>
      </c>
      <c r="C162">
        <f t="shared" si="17"/>
        <v>246.15392312468907</v>
      </c>
      <c r="D162">
        <f t="shared" si="12"/>
        <v>0.89960819424902316</v>
      </c>
      <c r="E162">
        <f t="shared" si="13"/>
        <v>247.0535313189381</v>
      </c>
      <c r="F162">
        <f t="shared" si="14"/>
        <v>0.88583878824256068</v>
      </c>
      <c r="G162">
        <f t="shared" si="15"/>
        <v>247.04664661593486</v>
      </c>
      <c r="H162">
        <f>G162 - Euler!E162</f>
        <v>0.57079752283718221</v>
      </c>
    </row>
    <row r="163" spans="1:8" x14ac:dyDescent="0.35">
      <c r="A163">
        <v>154</v>
      </c>
      <c r="B163">
        <f t="shared" si="16"/>
        <v>154</v>
      </c>
      <c r="C163">
        <f t="shared" si="17"/>
        <v>247.04664661593486</v>
      </c>
      <c r="D163">
        <f t="shared" si="12"/>
        <v>0.88594434228416041</v>
      </c>
      <c r="E163">
        <f t="shared" si="13"/>
        <v>247.93259095821901</v>
      </c>
      <c r="F163">
        <f t="shared" si="14"/>
        <v>0.8723389998389417</v>
      </c>
      <c r="G163">
        <f t="shared" si="15"/>
        <v>247.92578828699641</v>
      </c>
      <c r="H163">
        <f>G163 - Euler!E163</f>
        <v>0.5552530461596632</v>
      </c>
    </row>
    <row r="164" spans="1:8" x14ac:dyDescent="0.35">
      <c r="A164">
        <v>155</v>
      </c>
      <c r="B164">
        <f t="shared" si="16"/>
        <v>155</v>
      </c>
      <c r="C164">
        <f t="shared" si="17"/>
        <v>247.92578828699641</v>
      </c>
      <c r="D164">
        <f t="shared" si="12"/>
        <v>0.87244363888069809</v>
      </c>
      <c r="E164">
        <f t="shared" si="13"/>
        <v>248.7982319258771</v>
      </c>
      <c r="F164">
        <f t="shared" si="14"/>
        <v>0.8590021067513226</v>
      </c>
      <c r="G164">
        <f t="shared" si="15"/>
        <v>248.79151115981242</v>
      </c>
      <c r="H164">
        <f>G164 - Euler!E164</f>
        <v>0.5400002791286056</v>
      </c>
    </row>
    <row r="165" spans="1:8" x14ac:dyDescent="0.35">
      <c r="A165">
        <v>156</v>
      </c>
      <c r="B165">
        <f t="shared" si="16"/>
        <v>156</v>
      </c>
      <c r="C165">
        <f t="shared" si="17"/>
        <v>248.79151115981242</v>
      </c>
      <c r="D165">
        <f t="shared" si="12"/>
        <v>0.85910581785159545</v>
      </c>
      <c r="E165">
        <f t="shared" si="13"/>
        <v>249.65061697766401</v>
      </c>
      <c r="F165">
        <f t="shared" si="14"/>
        <v>0.84582776390508008</v>
      </c>
      <c r="G165">
        <f t="shared" si="15"/>
        <v>249.64397795069075</v>
      </c>
      <c r="H165">
        <f>G165 - Euler!E165</f>
        <v>0.52503668105691759</v>
      </c>
    </row>
    <row r="166" spans="1:8" x14ac:dyDescent="0.35">
      <c r="A166">
        <v>157</v>
      </c>
      <c r="B166">
        <f t="shared" si="16"/>
        <v>157</v>
      </c>
      <c r="C166">
        <f t="shared" si="17"/>
        <v>249.64397795069075</v>
      </c>
      <c r="D166">
        <f t="shared" si="12"/>
        <v>0.84593053513290373</v>
      </c>
      <c r="E166">
        <f t="shared" si="13"/>
        <v>250.48990848582366</v>
      </c>
      <c r="F166">
        <f t="shared" si="14"/>
        <v>0.83281555213077552</v>
      </c>
      <c r="G166">
        <f t="shared" si="15"/>
        <v>250.48335099432259</v>
      </c>
      <c r="H166">
        <f>G166 - Euler!E166</f>
        <v>0.51035961237317906</v>
      </c>
    </row>
    <row r="167" spans="1:8" x14ac:dyDescent="0.35">
      <c r="A167">
        <v>158</v>
      </c>
      <c r="B167">
        <f t="shared" si="16"/>
        <v>158</v>
      </c>
      <c r="C167">
        <f t="shared" si="17"/>
        <v>250.48335099432259</v>
      </c>
      <c r="D167">
        <f t="shared" si="12"/>
        <v>0.8329173725330884</v>
      </c>
      <c r="E167">
        <f t="shared" si="13"/>
        <v>251.31626836685567</v>
      </c>
      <c r="F167">
        <f t="shared" si="14"/>
        <v>0.81996498179119659</v>
      </c>
      <c r="G167">
        <f t="shared" si="15"/>
        <v>251.30979217148473</v>
      </c>
      <c r="H167">
        <f>G167 - Euler!E167</f>
        <v>0.49596634173431653</v>
      </c>
    </row>
    <row r="168" spans="1:8" x14ac:dyDescent="0.35">
      <c r="A168">
        <v>159</v>
      </c>
      <c r="B168">
        <f t="shared" si="16"/>
        <v>159</v>
      </c>
      <c r="C168">
        <f t="shared" si="17"/>
        <v>251.30979217148473</v>
      </c>
      <c r="D168">
        <f t="shared" si="12"/>
        <v>0.82006584136058136</v>
      </c>
      <c r="E168">
        <f t="shared" si="13"/>
        <v>252.12985801284532</v>
      </c>
      <c r="F168">
        <f t="shared" si="14"/>
        <v>0.80727549628927975</v>
      </c>
      <c r="G168">
        <f t="shared" si="15"/>
        <v>252.12346284030966</v>
      </c>
      <c r="H168">
        <f>G168 - Euler!E168</f>
        <v>0.48185405286105265</v>
      </c>
    </row>
    <row r="169" spans="1:8" x14ac:dyDescent="0.35">
      <c r="A169">
        <v>160</v>
      </c>
      <c r="B169">
        <f t="shared" si="16"/>
        <v>160</v>
      </c>
      <c r="C169">
        <f t="shared" si="17"/>
        <v>252.12346284030966</v>
      </c>
      <c r="D169">
        <f t="shared" si="12"/>
        <v>0.80737538593216807</v>
      </c>
      <c r="E169">
        <f t="shared" si="13"/>
        <v>252.93083822624183</v>
      </c>
      <c r="F169">
        <f t="shared" si="14"/>
        <v>0.79474647545957655</v>
      </c>
      <c r="G169">
        <f t="shared" si="15"/>
        <v>252.92452377100554</v>
      </c>
      <c r="H169">
        <f>G169 - Euler!E169</f>
        <v>0.46801985110317901</v>
      </c>
    </row>
    <row r="170" spans="1:8" x14ac:dyDescent="0.35">
      <c r="A170">
        <v>161</v>
      </c>
      <c r="B170">
        <f t="shared" si="16"/>
        <v>161</v>
      </c>
      <c r="C170">
        <f t="shared" si="17"/>
        <v>252.92452377100554</v>
      </c>
      <c r="D170">
        <f t="shared" si="12"/>
        <v>0.79484538696498663</v>
      </c>
      <c r="E170">
        <f t="shared" si="13"/>
        <v>253.71936915797053</v>
      </c>
      <c r="F170">
        <f t="shared" si="14"/>
        <v>0.78237723884595478</v>
      </c>
      <c r="G170">
        <f t="shared" si="15"/>
        <v>253.713135083911</v>
      </c>
      <c r="H170">
        <f>G170 - Euler!E170</f>
        <v>0.45446076974172911</v>
      </c>
    </row>
    <row r="171" spans="1:8" x14ac:dyDescent="0.35">
      <c r="A171">
        <v>162</v>
      </c>
      <c r="B171">
        <f t="shared" si="16"/>
        <v>162</v>
      </c>
      <c r="C171">
        <f t="shared" si="17"/>
        <v>253.713135083911</v>
      </c>
      <c r="D171">
        <f t="shared" si="12"/>
        <v>0.78247516485477409</v>
      </c>
      <c r="E171">
        <f t="shared" si="13"/>
        <v>254.49561024876579</v>
      </c>
      <c r="F171">
        <f t="shared" si="14"/>
        <v>0.77016704886824572</v>
      </c>
      <c r="G171">
        <f t="shared" si="15"/>
        <v>254.4894561907725</v>
      </c>
      <c r="H171">
        <f>G171 - Euler!E171</f>
        <v>0.44117377603518548</v>
      </c>
    </row>
    <row r="172" spans="1:8" x14ac:dyDescent="0.35">
      <c r="A172">
        <v>163</v>
      </c>
      <c r="B172">
        <f t="shared" si="16"/>
        <v>163</v>
      </c>
      <c r="C172">
        <f t="shared" si="17"/>
        <v>254.4894561907725</v>
      </c>
      <c r="D172">
        <f t="shared" si="12"/>
        <v>0.77026398284305497</v>
      </c>
      <c r="E172">
        <f t="shared" si="13"/>
        <v>255.25972017361556</v>
      </c>
      <c r="F172">
        <f t="shared" si="14"/>
        <v>0.75811511388050101</v>
      </c>
      <c r="G172">
        <f t="shared" si="15"/>
        <v>255.25364573913427</v>
      </c>
      <c r="H172">
        <f>G172 - Euler!E172</f>
        <v>0.42815577701637153</v>
      </c>
    </row>
    <row r="173" spans="1:8" x14ac:dyDescent="0.35">
      <c r="A173">
        <v>164</v>
      </c>
      <c r="B173">
        <f t="shared" si="16"/>
        <v>164</v>
      </c>
      <c r="C173">
        <f t="shared" si="17"/>
        <v>255.25364573913427</v>
      </c>
      <c r="D173">
        <f t="shared" si="12"/>
        <v>0.75821105007598777</v>
      </c>
      <c r="E173">
        <f t="shared" si="13"/>
        <v>256.01185678921024</v>
      </c>
      <c r="F173">
        <f t="shared" si="14"/>
        <v>0.74622059112351702</v>
      </c>
      <c r="G173">
        <f t="shared" si="15"/>
        <v>256.005861559734</v>
      </c>
      <c r="H173">
        <f>G173 - Euler!E173</f>
        <v>0.41540362504736095</v>
      </c>
    </row>
    <row r="174" spans="1:8" x14ac:dyDescent="0.35">
      <c r="A174">
        <v>165</v>
      </c>
      <c r="B174">
        <f t="shared" si="16"/>
        <v>165</v>
      </c>
      <c r="C174">
        <f t="shared" si="17"/>
        <v>256.005861559734</v>
      </c>
      <c r="D174">
        <f t="shared" si="12"/>
        <v>0.74631552455746175</v>
      </c>
      <c r="E174">
        <f t="shared" si="13"/>
        <v>256.75217708429147</v>
      </c>
      <c r="F174">
        <f t="shared" si="14"/>
        <v>0.73448258957429402</v>
      </c>
      <c r="G174">
        <f t="shared" si="15"/>
        <v>256.74626061679987</v>
      </c>
      <c r="H174">
        <f>G174 - Euler!E174</f>
        <v>0.4029141231389417</v>
      </c>
    </row>
    <row r="175" spans="1:8" x14ac:dyDescent="0.35">
      <c r="A175">
        <v>166</v>
      </c>
      <c r="B175">
        <f t="shared" si="16"/>
        <v>166</v>
      </c>
      <c r="C175">
        <f t="shared" si="17"/>
        <v>256.74626061679987</v>
      </c>
      <c r="D175">
        <f t="shared" si="12"/>
        <v>0.73457651599915286</v>
      </c>
      <c r="E175">
        <f t="shared" si="13"/>
        <v>257.48083713279902</v>
      </c>
      <c r="F175">
        <f t="shared" si="14"/>
        <v>0.72290017269501183</v>
      </c>
      <c r="G175">
        <f t="shared" si="15"/>
        <v>257.47499896114698</v>
      </c>
      <c r="H175">
        <f>G175 - Euler!E175</f>
        <v>0.39068403004171159</v>
      </c>
    </row>
    <row r="176" spans="1:8" x14ac:dyDescent="0.35">
      <c r="A176">
        <v>167</v>
      </c>
      <c r="B176">
        <f t="shared" si="16"/>
        <v>167</v>
      </c>
      <c r="C176">
        <f t="shared" si="17"/>
        <v>257.47499896114698</v>
      </c>
      <c r="D176">
        <f t="shared" si="12"/>
        <v>0.72299308857010525</v>
      </c>
      <c r="E176">
        <f t="shared" si="13"/>
        <v>258.19799204971707</v>
      </c>
      <c r="F176">
        <f t="shared" si="14"/>
        <v>0.71147236108414869</v>
      </c>
      <c r="G176">
        <f t="shared" si="15"/>
        <v>258.19223168597409</v>
      </c>
      <c r="H176">
        <f>G176 - Euler!E176</f>
        <v>0.37871006511511496</v>
      </c>
    </row>
    <row r="177" spans="1:8" x14ac:dyDescent="0.35">
      <c r="A177">
        <v>168</v>
      </c>
      <c r="B177">
        <f t="shared" si="16"/>
        <v>168</v>
      </c>
      <c r="C177">
        <f t="shared" si="17"/>
        <v>258.19223168597409</v>
      </c>
      <c r="D177">
        <f t="shared" si="12"/>
        <v>0.71156426354846436</v>
      </c>
      <c r="E177">
        <f t="shared" si="13"/>
        <v>258.90379594952253</v>
      </c>
      <c r="F177">
        <f t="shared" si="14"/>
        <v>0.7001981350323162</v>
      </c>
      <c r="G177">
        <f t="shared" si="15"/>
        <v>258.89811288526448</v>
      </c>
      <c r="H177">
        <f>G177 - Euler!E177</f>
        <v>0.36698891298192393</v>
      </c>
    </row>
    <row r="178" spans="1:8" x14ac:dyDescent="0.35">
      <c r="A178">
        <v>169</v>
      </c>
      <c r="B178">
        <f t="shared" si="16"/>
        <v>169</v>
      </c>
      <c r="C178">
        <f t="shared" si="17"/>
        <v>258.89811288526448</v>
      </c>
      <c r="D178">
        <f t="shared" si="12"/>
        <v>0.70028902187791209</v>
      </c>
      <c r="E178">
        <f t="shared" si="13"/>
        <v>259.59840190714237</v>
      </c>
      <c r="F178">
        <f t="shared" si="14"/>
        <v>0.68907643698530174</v>
      </c>
      <c r="G178">
        <f t="shared" si="15"/>
        <v>259.59279561469612</v>
      </c>
      <c r="H178">
        <f>G178 - Euler!E178</f>
        <v>0.35551722797356433</v>
      </c>
    </row>
    <row r="179" spans="1:8" x14ac:dyDescent="0.35">
      <c r="A179">
        <v>170</v>
      </c>
      <c r="B179">
        <f t="shared" si="16"/>
        <v>170</v>
      </c>
      <c r="C179">
        <f t="shared" si="17"/>
        <v>259.59279561469612</v>
      </c>
      <c r="D179">
        <f t="shared" si="12"/>
        <v>0.68916630663134848</v>
      </c>
      <c r="E179">
        <f t="shared" si="13"/>
        <v>260.28196192132748</v>
      </c>
      <c r="F179">
        <f t="shared" si="14"/>
        <v>0.67810617391689543</v>
      </c>
      <c r="G179">
        <f t="shared" si="15"/>
        <v>260.27643185497021</v>
      </c>
      <c r="H179">
        <f>G179 - Euler!E179</f>
        <v>0.3442916383736474</v>
      </c>
    </row>
    <row r="180" spans="1:8" x14ac:dyDescent="0.35">
      <c r="A180">
        <v>171</v>
      </c>
      <c r="B180">
        <f t="shared" si="16"/>
        <v>171</v>
      </c>
      <c r="C180">
        <f t="shared" si="17"/>
        <v>260.27643185497021</v>
      </c>
      <c r="D180">
        <f t="shared" si="12"/>
        <v>0.6781950253843223</v>
      </c>
      <c r="E180">
        <f t="shared" si="13"/>
        <v>260.95462688035451</v>
      </c>
      <c r="F180">
        <f t="shared" si="14"/>
        <v>0.66728621961390922</v>
      </c>
      <c r="G180">
        <f t="shared" si="15"/>
        <v>260.94917247746935</v>
      </c>
      <c r="H180">
        <f>G180 - Euler!E180</f>
        <v>0.33330875046578967</v>
      </c>
    </row>
    <row r="181" spans="1:8" x14ac:dyDescent="0.35">
      <c r="A181">
        <v>172</v>
      </c>
      <c r="B181">
        <f t="shared" si="16"/>
        <v>172</v>
      </c>
      <c r="C181">
        <f t="shared" si="17"/>
        <v>260.94917247746935</v>
      </c>
      <c r="D181">
        <f t="shared" si="12"/>
        <v>0.66737405250066784</v>
      </c>
      <c r="E181">
        <f t="shared" si="13"/>
        <v>261.61654652997004</v>
      </c>
      <c r="F181">
        <f t="shared" si="14"/>
        <v>0.65661541687584957</v>
      </c>
      <c r="G181">
        <f t="shared" si="15"/>
        <v>261.61116721215762</v>
      </c>
      <c r="H181">
        <f>G181 - Euler!E181</f>
        <v>0.32256515239180317</v>
      </c>
    </row>
    <row r="182" spans="1:8" x14ac:dyDescent="0.35">
      <c r="A182">
        <v>173</v>
      </c>
      <c r="B182">
        <f t="shared" si="16"/>
        <v>173</v>
      </c>
      <c r="C182">
        <f t="shared" si="17"/>
        <v>261.61116721215762</v>
      </c>
      <c r="D182">
        <f t="shared" si="12"/>
        <v>0.65670223133282035</v>
      </c>
      <c r="E182">
        <f t="shared" si="13"/>
        <v>262.26786944349044</v>
      </c>
      <c r="F182">
        <f t="shared" si="14"/>
        <v>0.64609257963165301</v>
      </c>
      <c r="G182">
        <f t="shared" si="15"/>
        <v>262.26256461763984</v>
      </c>
      <c r="H182">
        <f>G182 - Euler!E182</f>
        <v>0.31205741782662244</v>
      </c>
    </row>
    <row r="183" spans="1:8" x14ac:dyDescent="0.35">
      <c r="A183">
        <v>174</v>
      </c>
      <c r="B183">
        <f t="shared" si="16"/>
        <v>174</v>
      </c>
      <c r="C183">
        <f t="shared" si="17"/>
        <v>262.26256461763984</v>
      </c>
      <c r="D183">
        <f t="shared" si="12"/>
        <v>0.6461783763391491</v>
      </c>
      <c r="E183">
        <f t="shared" si="13"/>
        <v>262.90874299397899</v>
      </c>
      <c r="F183">
        <f t="shared" si="14"/>
        <v>0.6357164949758275</v>
      </c>
      <c r="G183">
        <f t="shared" si="15"/>
        <v>262.90351205329733</v>
      </c>
      <c r="H183">
        <f>G183 - Euler!E183</f>
        <v>0.30178210947610751</v>
      </c>
    </row>
    <row r="184" spans="1:8" x14ac:dyDescent="0.35">
      <c r="A184">
        <v>175</v>
      </c>
      <c r="B184">
        <f t="shared" si="16"/>
        <v>175</v>
      </c>
      <c r="C184">
        <f t="shared" si="17"/>
        <v>262.90351205329733</v>
      </c>
      <c r="D184">
        <f t="shared" si="12"/>
        <v>0.63580127512071272</v>
      </c>
      <c r="E184">
        <f t="shared" si="13"/>
        <v>263.53931332841807</v>
      </c>
      <c r="F184">
        <f t="shared" si="14"/>
        <v>0.62548592512631052</v>
      </c>
      <c r="G184">
        <f t="shared" si="15"/>
        <v>263.53415565342084</v>
      </c>
      <c r="H184">
        <f>G184 - Euler!E184</f>
        <v>0.29173578240300913</v>
      </c>
    </row>
    <row r="185" spans="1:8" x14ac:dyDescent="0.35">
      <c r="A185">
        <v>176</v>
      </c>
      <c r="B185">
        <f t="shared" si="16"/>
        <v>176</v>
      </c>
      <c r="C185">
        <f t="shared" si="17"/>
        <v>263.53415565342084</v>
      </c>
      <c r="D185">
        <f t="shared" si="12"/>
        <v>0.62556969037974686</v>
      </c>
      <c r="E185">
        <f t="shared" si="13"/>
        <v>264.15972534380057</v>
      </c>
      <c r="F185">
        <f t="shared" si="14"/>
        <v>0.61539960930634952</v>
      </c>
      <c r="G185">
        <f t="shared" si="15"/>
        <v>264.15464030326388</v>
      </c>
      <c r="H185">
        <f>G185 - Euler!E185</f>
        <v>0.2819149871877471</v>
      </c>
    </row>
    <row r="186" spans="1:8" x14ac:dyDescent="0.35">
      <c r="A186">
        <v>177</v>
      </c>
      <c r="B186">
        <f t="shared" si="16"/>
        <v>177</v>
      </c>
      <c r="C186">
        <f t="shared" si="17"/>
        <v>264.15464030326388</v>
      </c>
      <c r="D186">
        <f t="shared" si="12"/>
        <v>0.61548236180213445</v>
      </c>
      <c r="E186">
        <f t="shared" si="13"/>
        <v>264.77012266506603</v>
      </c>
      <c r="F186">
        <f t="shared" si="14"/>
        <v>0.60545626555261323</v>
      </c>
      <c r="G186">
        <f t="shared" si="15"/>
        <v>264.76510961694123</v>
      </c>
      <c r="H186">
        <f>G186 - Euler!E186</f>
        <v>0.27231627292923122</v>
      </c>
    </row>
    <row r="187" spans="1:8" x14ac:dyDescent="0.35">
      <c r="A187">
        <v>178</v>
      </c>
      <c r="B187">
        <f t="shared" si="16"/>
        <v>178</v>
      </c>
      <c r="C187">
        <f t="shared" si="17"/>
        <v>264.76510961694123</v>
      </c>
      <c r="D187">
        <f t="shared" si="12"/>
        <v>0.60553800786612577</v>
      </c>
      <c r="E187">
        <f t="shared" si="13"/>
        <v>265.37064762480736</v>
      </c>
      <c r="F187">
        <f t="shared" si="14"/>
        <v>0.59565459245175434</v>
      </c>
      <c r="G187">
        <f t="shared" si="15"/>
        <v>265.36570591710017</v>
      </c>
      <c r="H187">
        <f>G187 - Euler!E187</f>
        <v>0.26293619009095437</v>
      </c>
    </row>
    <row r="188" spans="1:8" x14ac:dyDescent="0.35">
      <c r="A188">
        <v>179</v>
      </c>
      <c r="B188">
        <f t="shared" si="16"/>
        <v>179</v>
      </c>
      <c r="C188">
        <f t="shared" si="17"/>
        <v>265.36570591710017</v>
      </c>
      <c r="D188">
        <f t="shared" si="12"/>
        <v>0.5957353275794941</v>
      </c>
      <c r="E188">
        <f t="shared" si="13"/>
        <v>265.96144124467969</v>
      </c>
      <c r="F188">
        <f t="shared" si="14"/>
        <v>0.58599327080754604</v>
      </c>
      <c r="G188">
        <f t="shared" si="15"/>
        <v>265.9565702162937</v>
      </c>
      <c r="H188">
        <f>G188 - Euler!E188</f>
        <v>0.25377129319855385</v>
      </c>
    </row>
    <row r="189" spans="1:8" x14ac:dyDescent="0.35">
      <c r="A189">
        <v>180</v>
      </c>
      <c r="B189">
        <f t="shared" si="16"/>
        <v>180</v>
      </c>
      <c r="C189">
        <f t="shared" si="17"/>
        <v>265.9565702162937</v>
      </c>
      <c r="D189">
        <f t="shared" si="12"/>
        <v>0.58607300214725933</v>
      </c>
      <c r="E189">
        <f t="shared" si="13"/>
        <v>266.54264321844096</v>
      </c>
      <c r="F189">
        <f t="shared" si="14"/>
        <v>0.5764709652407175</v>
      </c>
      <c r="G189">
        <f t="shared" si="15"/>
        <v>266.53784219998767</v>
      </c>
      <c r="H189">
        <f>G189 - Euler!E189</f>
        <v>0.24481814339338825</v>
      </c>
    </row>
    <row r="190" spans="1:8" x14ac:dyDescent="0.35">
      <c r="A190">
        <v>181</v>
      </c>
      <c r="B190">
        <f t="shared" si="16"/>
        <v>181</v>
      </c>
      <c r="C190">
        <f t="shared" si="17"/>
        <v>266.53784219998767</v>
      </c>
      <c r="D190">
        <f t="shared" si="12"/>
        <v>0.5765496965721133</v>
      </c>
      <c r="E190">
        <f t="shared" si="13"/>
        <v>267.11439189655977</v>
      </c>
      <c r="F190">
        <f t="shared" si="14"/>
        <v>0.56708632572355844</v>
      </c>
      <c r="G190">
        <f t="shared" si="15"/>
        <v>267.10966021113552</v>
      </c>
      <c r="H190">
        <f>G190 - Euler!E190</f>
        <v>0.23607331084798489</v>
      </c>
    </row>
    <row r="191" spans="1:8" x14ac:dyDescent="0.35">
      <c r="A191">
        <v>182</v>
      </c>
      <c r="B191">
        <f t="shared" si="16"/>
        <v>182</v>
      </c>
      <c r="C191">
        <f t="shared" si="17"/>
        <v>267.10966021113552</v>
      </c>
      <c r="D191">
        <f t="shared" si="12"/>
        <v>0.56716406118957585</v>
      </c>
      <c r="E191">
        <f t="shared" si="13"/>
        <v>267.67682427232512</v>
      </c>
      <c r="F191">
        <f t="shared" si="14"/>
        <v>0.55783798905127824</v>
      </c>
      <c r="G191">
        <f t="shared" si="15"/>
        <v>267.67216123625593</v>
      </c>
      <c r="H191">
        <f>G191 - Euler!E191</f>
        <v>0.22753337704739351</v>
      </c>
    </row>
    <row r="192" spans="1:8" x14ac:dyDescent="0.35">
      <c r="A192">
        <v>183</v>
      </c>
      <c r="B192">
        <f t="shared" si="16"/>
        <v>183</v>
      </c>
      <c r="C192">
        <f t="shared" si="17"/>
        <v>267.67216123625593</v>
      </c>
      <c r="D192">
        <f t="shared" si="12"/>
        <v>0.55791473313995421</v>
      </c>
      <c r="E192">
        <f t="shared" si="13"/>
        <v>268.2300759693959</v>
      </c>
      <c r="F192">
        <f t="shared" si="14"/>
        <v>0.54872458025215942</v>
      </c>
      <c r="G192">
        <f t="shared" si="15"/>
        <v>268.22548089295196</v>
      </c>
      <c r="H192">
        <f>G192 - Euler!E192</f>
        <v>0.21919493694298353</v>
      </c>
    </row>
    <row r="193" spans="1:8" x14ac:dyDescent="0.35">
      <c r="A193">
        <v>184</v>
      </c>
      <c r="B193">
        <f t="shared" si="16"/>
        <v>184</v>
      </c>
      <c r="C193">
        <f t="shared" si="17"/>
        <v>268.22548089295196</v>
      </c>
      <c r="D193">
        <f t="shared" si="12"/>
        <v>0.54880033777901449</v>
      </c>
      <c r="E193">
        <f t="shared" si="13"/>
        <v>268.77428123073099</v>
      </c>
      <c r="F193">
        <f t="shared" si="14"/>
        <v>0.53974471393836043</v>
      </c>
      <c r="G193">
        <f t="shared" si="15"/>
        <v>268.76975341881064</v>
      </c>
      <c r="H193">
        <f>G193 - Euler!E193</f>
        <v>0.21105460098169715</v>
      </c>
    </row>
    <row r="194" spans="1:8" x14ac:dyDescent="0.35">
      <c r="A194">
        <v>185</v>
      </c>
      <c r="B194">
        <f t="shared" si="16"/>
        <v>185</v>
      </c>
      <c r="C194">
        <f t="shared" si="17"/>
        <v>268.76975341881064</v>
      </c>
      <c r="D194">
        <f t="shared" si="12"/>
        <v>0.53981949002935081</v>
      </c>
      <c r="E194">
        <f t="shared" si="13"/>
        <v>269.30957290883998</v>
      </c>
      <c r="F194">
        <f t="shared" si="14"/>
        <v>0.53089699559930448</v>
      </c>
      <c r="G194">
        <f t="shared" si="15"/>
        <v>269.30511166162495</v>
      </c>
      <c r="H194">
        <f>G194 - Euler!E194</f>
        <v>0.20310899701644303</v>
      </c>
    </row>
    <row r="195" spans="1:8" x14ac:dyDescent="0.35">
      <c r="A195">
        <v>186</v>
      </c>
      <c r="B195">
        <f t="shared" si="16"/>
        <v>186</v>
      </c>
      <c r="C195">
        <f t="shared" si="17"/>
        <v>269.30511166162495</v>
      </c>
      <c r="D195">
        <f t="shared" si="12"/>
        <v>0.53097079567431194</v>
      </c>
      <c r="E195">
        <f t="shared" si="13"/>
        <v>269.83608245729926</v>
      </c>
      <c r="F195">
        <f t="shared" si="14"/>
        <v>0.5221800228394915</v>
      </c>
      <c r="G195">
        <f t="shared" si="15"/>
        <v>269.83168707088186</v>
      </c>
      <c r="H195">
        <f>G195 - Euler!E195</f>
        <v>0.19535477210223462</v>
      </c>
    </row>
    <row r="196" spans="1:8" x14ac:dyDescent="0.35">
      <c r="A196">
        <v>187</v>
      </c>
      <c r="B196">
        <f t="shared" si="16"/>
        <v>187</v>
      </c>
      <c r="C196">
        <f t="shared" si="17"/>
        <v>269.83168707088186</v>
      </c>
      <c r="D196">
        <f t="shared" si="12"/>
        <v>0.52225285259633925</v>
      </c>
      <c r="E196">
        <f t="shared" si="13"/>
        <v>270.35393992347821</v>
      </c>
      <c r="F196">
        <f t="shared" si="14"/>
        <v>0.5135923865625216</v>
      </c>
      <c r="G196">
        <f t="shared" si="15"/>
        <v>270.34960969046131</v>
      </c>
      <c r="H196">
        <f>G196 - Euler!E196</f>
        <v>0.18778859418199545</v>
      </c>
    </row>
    <row r="197" spans="1:8" x14ac:dyDescent="0.35">
      <c r="A197">
        <v>188</v>
      </c>
      <c r="B197">
        <f t="shared" si="16"/>
        <v>188</v>
      </c>
      <c r="C197">
        <f t="shared" si="17"/>
        <v>270.34960969046131</v>
      </c>
      <c r="D197">
        <f t="shared" si="12"/>
        <v>0.51366425196150833</v>
      </c>
      <c r="E197">
        <f t="shared" si="13"/>
        <v>270.86327394242284</v>
      </c>
      <c r="F197">
        <f t="shared" si="14"/>
        <v>0.50513267210310575</v>
      </c>
      <c r="G197">
        <f t="shared" si="15"/>
        <v>270.85900815249363</v>
      </c>
      <c r="H197">
        <f>G197 - Euler!E197</f>
        <v>0.18040715366646509</v>
      </c>
    </row>
    <row r="198" spans="1:8" x14ac:dyDescent="0.35">
      <c r="A198">
        <v>189</v>
      </c>
      <c r="B198">
        <f t="shared" si="16"/>
        <v>189</v>
      </c>
      <c r="C198">
        <f t="shared" si="17"/>
        <v>270.85900815249363</v>
      </c>
      <c r="D198">
        <f t="shared" si="12"/>
        <v>0.50520357935203808</v>
      </c>
      <c r="E198">
        <f t="shared" si="13"/>
        <v>271.36421173184567</v>
      </c>
      <c r="F198">
        <f t="shared" si="14"/>
        <v>0.49679946030873789</v>
      </c>
      <c r="G198">
        <f t="shared" si="15"/>
        <v>271.360009672324</v>
      </c>
      <c r="H198">
        <f>G198 - Euler!E198</f>
        <v>0.17320716491281019</v>
      </c>
    </row>
    <row r="199" spans="1:8" x14ac:dyDescent="0.35">
      <c r="A199">
        <v>190</v>
      </c>
      <c r="B199">
        <f t="shared" si="16"/>
        <v>190</v>
      </c>
      <c r="C199">
        <f t="shared" si="17"/>
        <v>271.360009672324</v>
      </c>
      <c r="D199">
        <f t="shared" si="12"/>
        <v>0.49686941584847244</v>
      </c>
      <c r="E199">
        <f t="shared" si="13"/>
        <v>271.85687908817249</v>
      </c>
      <c r="F199">
        <f t="shared" si="14"/>
        <v>0.48859132857274523</v>
      </c>
      <c r="G199">
        <f t="shared" si="15"/>
        <v>271.85274004453458</v>
      </c>
      <c r="H199">
        <f>G199 - Euler!E199</f>
        <v>0.16618536760540792</v>
      </c>
    </row>
    <row r="200" spans="1:8" x14ac:dyDescent="0.35">
      <c r="A200">
        <v>191</v>
      </c>
      <c r="B200">
        <f t="shared" si="16"/>
        <v>191</v>
      </c>
      <c r="C200">
        <f t="shared" si="17"/>
        <v>271.85274004453458</v>
      </c>
      <c r="D200">
        <f t="shared" si="12"/>
        <v>0.48866033906321554</v>
      </c>
      <c r="E200">
        <f t="shared" si="13"/>
        <v>272.34140038359777</v>
      </c>
      <c r="F200">
        <f t="shared" si="14"/>
        <v>0.48050685182032132</v>
      </c>
      <c r="G200">
        <f t="shared" si="15"/>
        <v>272.33732363997638</v>
      </c>
      <c r="H200">
        <f>G200 - Euler!E200</f>
        <v>0.15933852804300841</v>
      </c>
    </row>
    <row r="201" spans="1:8" x14ac:dyDescent="0.35">
      <c r="A201">
        <v>192</v>
      </c>
      <c r="B201">
        <f t="shared" si="16"/>
        <v>192</v>
      </c>
      <c r="C201">
        <f t="shared" si="17"/>
        <v>272.33732363997638</v>
      </c>
      <c r="D201">
        <f t="shared" ref="D201:D264" si="18">$B$2 * POWER(C201,3/4) * (1 - POWER(C201/$B$4,1/4))</f>
        <v>0.48057492412703962</v>
      </c>
      <c r="E201">
        <f t="shared" ref="E201:E264" si="19">C201 + $B$3 * D201</f>
        <v>272.81789856410342</v>
      </c>
      <c r="F201">
        <f t="shared" ref="F201:F264" si="20">$B$2 * POWER(E201,3/4) * (1 - POWER(E201/$B$4,1/4))</f>
        <v>0.47254460344912974</v>
      </c>
      <c r="G201">
        <f t="shared" ref="G201:G264" si="21">C201 + ($B$3/2) * (D201 + F201)</f>
        <v>272.81388340376446</v>
      </c>
      <c r="H201">
        <f>G201 - Euler!E201</f>
        <v>0.15266344033608448</v>
      </c>
    </row>
    <row r="202" spans="1:8" x14ac:dyDescent="0.35">
      <c r="A202">
        <v>193</v>
      </c>
      <c r="B202">
        <f t="shared" ref="B202:B265" si="22">B201 + $B$3</f>
        <v>193</v>
      </c>
      <c r="C202">
        <f t="shared" ref="C202:C265" si="23">G201</f>
        <v>272.81388340376446</v>
      </c>
      <c r="D202">
        <f t="shared" si="18"/>
        <v>0.47261174463015149</v>
      </c>
      <c r="E202">
        <f t="shared" si="19"/>
        <v>273.28649514839464</v>
      </c>
      <c r="F202">
        <f t="shared" si="20"/>
        <v>0.46470315622602454</v>
      </c>
      <c r="G202">
        <f t="shared" si="21"/>
        <v>273.28254085419258</v>
      </c>
      <c r="H202">
        <f>G202 - Euler!E202</f>
        <v>0.14615692751817733</v>
      </c>
    </row>
    <row r="203" spans="1:8" x14ac:dyDescent="0.35">
      <c r="A203">
        <v>194</v>
      </c>
      <c r="B203">
        <f t="shared" si="22"/>
        <v>194</v>
      </c>
      <c r="C203">
        <f t="shared" si="23"/>
        <v>273.28254085419258</v>
      </c>
      <c r="D203">
        <f t="shared" si="18"/>
        <v>0.46476937351937614</v>
      </c>
      <c r="E203">
        <f t="shared" si="19"/>
        <v>273.74731022771198</v>
      </c>
      <c r="F203">
        <f t="shared" si="20"/>
        <v>0.45698108314139946</v>
      </c>
      <c r="G203">
        <f t="shared" si="21"/>
        <v>273.74341608252297</v>
      </c>
      <c r="H203">
        <f>G203 - Euler!E203</f>
        <v>0.1398158425745919</v>
      </c>
    </row>
    <row r="204" spans="1:8" x14ac:dyDescent="0.35">
      <c r="A204">
        <v>195</v>
      </c>
      <c r="B204">
        <f t="shared" si="22"/>
        <v>195</v>
      </c>
      <c r="C204">
        <f t="shared" si="23"/>
        <v>273.74341608252297</v>
      </c>
      <c r="D204">
        <f t="shared" si="18"/>
        <v>0.45704638395294617</v>
      </c>
      <c r="E204">
        <f t="shared" si="19"/>
        <v>274.20046246647593</v>
      </c>
      <c r="F204">
        <f t="shared" si="20"/>
        <v>0.44937695822260987</v>
      </c>
      <c r="G204">
        <f t="shared" si="21"/>
        <v>274.19662775361076</v>
      </c>
      <c r="H204">
        <f>G204 - Euler!E204</f>
        <v>0.13363706939213671</v>
      </c>
    </row>
    <row r="205" spans="1:8" x14ac:dyDescent="0.35">
      <c r="A205">
        <v>196</v>
      </c>
      <c r="B205">
        <f t="shared" si="22"/>
        <v>196</v>
      </c>
      <c r="C205">
        <f t="shared" si="23"/>
        <v>274.19662775361076</v>
      </c>
      <c r="D205">
        <f t="shared" si="18"/>
        <v>0.44944135011435632</v>
      </c>
      <c r="E205">
        <f t="shared" si="19"/>
        <v>274.6460691037251</v>
      </c>
      <c r="F205">
        <f t="shared" si="20"/>
        <v>0.4418893573079149</v>
      </c>
      <c r="G205">
        <f t="shared" si="21"/>
        <v>274.6422931073219</v>
      </c>
      <c r="H205">
        <f>G205 - Euler!E205</f>
        <v>0.12761752363303458</v>
      </c>
    </row>
    <row r="206" spans="1:8" x14ac:dyDescent="0.35">
      <c r="A206">
        <v>197</v>
      </c>
      <c r="B206">
        <f t="shared" si="22"/>
        <v>197</v>
      </c>
      <c r="C206">
        <f t="shared" si="23"/>
        <v>274.6422931073219</v>
      </c>
      <c r="D206">
        <f t="shared" si="18"/>
        <v>0.44195284798673112</v>
      </c>
      <c r="E206">
        <f t="shared" si="19"/>
        <v>275.08424595530863</v>
      </c>
      <c r="F206">
        <f t="shared" si="20"/>
        <v>0.43451685878231111</v>
      </c>
      <c r="G206">
        <f t="shared" si="21"/>
        <v>275.08052796070643</v>
      </c>
      <c r="H206">
        <f>G206 - Euler!E206</f>
        <v>0.12175415353658536</v>
      </c>
    </row>
    <row r="207" spans="1:8" x14ac:dyDescent="0.35">
      <c r="A207">
        <v>198</v>
      </c>
      <c r="B207">
        <f t="shared" si="22"/>
        <v>198</v>
      </c>
      <c r="C207">
        <f t="shared" si="23"/>
        <v>275.08052796070643</v>
      </c>
      <c r="D207">
        <f t="shared" si="18"/>
        <v>0.4345794560890876</v>
      </c>
      <c r="E207">
        <f t="shared" si="19"/>
        <v>275.5151074167955</v>
      </c>
      <c r="F207">
        <f t="shared" si="20"/>
        <v>0.42725804427662045</v>
      </c>
      <c r="G207">
        <f t="shared" si="21"/>
        <v>275.51144671088929</v>
      </c>
      <c r="H207">
        <f>G207 - Euler!E207</f>
        <v>0.1160439406515934</v>
      </c>
    </row>
    <row r="208" spans="1:8" x14ac:dyDescent="0.35">
      <c r="A208">
        <v>199</v>
      </c>
      <c r="B208">
        <f t="shared" si="22"/>
        <v>199</v>
      </c>
      <c r="C208">
        <f t="shared" si="23"/>
        <v>275.51144671088929</v>
      </c>
      <c r="D208">
        <f t="shared" si="18"/>
        <v>0.42731975617578938</v>
      </c>
      <c r="E208">
        <f t="shared" si="19"/>
        <v>275.93876646706508</v>
      </c>
      <c r="F208">
        <f t="shared" si="20"/>
        <v>0.42011149933109332</v>
      </c>
      <c r="G208">
        <f t="shared" si="21"/>
        <v>275.93516233864273</v>
      </c>
      <c r="H208">
        <f>G208 - Euler!E208</f>
        <v>0.11048390050234502</v>
      </c>
    </row>
    <row r="209" spans="1:8" x14ac:dyDescent="0.35">
      <c r="A209">
        <v>200</v>
      </c>
      <c r="B209">
        <f t="shared" si="22"/>
        <v>200</v>
      </c>
      <c r="C209">
        <f t="shared" si="23"/>
        <v>275.93516233864273</v>
      </c>
      <c r="D209">
        <f t="shared" si="18"/>
        <v>0.42017233390058861</v>
      </c>
      <c r="E209">
        <f t="shared" si="19"/>
        <v>276.35533467254334</v>
      </c>
      <c r="F209">
        <f t="shared" si="20"/>
        <v>0.41307581402488447</v>
      </c>
      <c r="G209">
        <f t="shared" si="21"/>
        <v>276.35178641260546</v>
      </c>
      <c r="H209">
        <f>G209 - Euler!E209</f>
        <v>0.10507108319160352</v>
      </c>
    </row>
    <row r="210" spans="1:8" x14ac:dyDescent="0.35">
      <c r="A210">
        <v>201</v>
      </c>
      <c r="B210">
        <f t="shared" si="22"/>
        <v>201</v>
      </c>
      <c r="C210">
        <f t="shared" si="23"/>
        <v>276.35178641260546</v>
      </c>
      <c r="D210">
        <f t="shared" si="18"/>
        <v>0.41313577944644314</v>
      </c>
      <c r="E210">
        <f t="shared" si="19"/>
        <v>276.76492219205193</v>
      </c>
      <c r="F210">
        <f t="shared" si="20"/>
        <v>0.40614958357254949</v>
      </c>
      <c r="G210">
        <f t="shared" si="21"/>
        <v>276.76142909411499</v>
      </c>
      <c r="H210">
        <f>G210 - Euler!E210</f>
        <v>9.9802573943122752E-2</v>
      </c>
    </row>
    <row r="211" spans="1:8" x14ac:dyDescent="0.35">
      <c r="A211">
        <v>202</v>
      </c>
      <c r="B211">
        <f t="shared" si="22"/>
        <v>202</v>
      </c>
      <c r="C211">
        <f t="shared" si="23"/>
        <v>276.76142909411499</v>
      </c>
      <c r="D211">
        <f t="shared" si="18"/>
        <v>0.40620868812240807</v>
      </c>
      <c r="E211">
        <f t="shared" si="19"/>
        <v>277.16763778223742</v>
      </c>
      <c r="F211">
        <f t="shared" si="20"/>
        <v>0.39933140888879765</v>
      </c>
      <c r="G211">
        <f t="shared" si="21"/>
        <v>277.16419914262059</v>
      </c>
      <c r="H211">
        <f>G211 - Euler!E211</f>
        <v>9.4675493586350967E-2</v>
      </c>
    </row>
    <row r="212" spans="1:8" x14ac:dyDescent="0.35">
      <c r="A212">
        <v>203</v>
      </c>
      <c r="B212">
        <f t="shared" si="22"/>
        <v>203</v>
      </c>
      <c r="C212">
        <f t="shared" si="23"/>
        <v>277.16419914262059</v>
      </c>
      <c r="D212">
        <f t="shared" si="18"/>
        <v>0.39938966092875383</v>
      </c>
      <c r="E212">
        <f t="shared" si="19"/>
        <v>277.56358880354935</v>
      </c>
      <c r="F212">
        <f t="shared" si="20"/>
        <v>0.39261989712270295</v>
      </c>
      <c r="G212">
        <f t="shared" si="21"/>
        <v>277.56020392164629</v>
      </c>
      <c r="H212">
        <f>G212 - Euler!E212</f>
        <v>8.9686998986621802E-2</v>
      </c>
    </row>
    <row r="213" spans="1:8" x14ac:dyDescent="0.35">
      <c r="A213">
        <v>204</v>
      </c>
      <c r="B213">
        <f t="shared" si="22"/>
        <v>204</v>
      </c>
      <c r="C213">
        <f t="shared" si="23"/>
        <v>277.56020392164629</v>
      </c>
      <c r="D213">
        <f t="shared" si="18"/>
        <v>0.392677305091509</v>
      </c>
      <c r="E213">
        <f t="shared" si="19"/>
        <v>277.95288122673782</v>
      </c>
      <c r="F213">
        <f t="shared" si="20"/>
        <v>0.38601366216241911</v>
      </c>
      <c r="G213">
        <f t="shared" si="21"/>
        <v>277.94954940527327</v>
      </c>
      <c r="H213">
        <f>G213 - Euler!E213</f>
        <v>8.4834283422537737E-2</v>
      </c>
    </row>
    <row r="214" spans="1:8" x14ac:dyDescent="0.35">
      <c r="A214">
        <v>205</v>
      </c>
      <c r="B214">
        <f t="shared" si="22"/>
        <v>205</v>
      </c>
      <c r="C214">
        <f t="shared" si="23"/>
        <v>277.94954940527327</v>
      </c>
      <c r="D214">
        <f t="shared" si="18"/>
        <v>0.38607023456753836</v>
      </c>
      <c r="E214">
        <f t="shared" si="19"/>
        <v>278.33561963984079</v>
      </c>
      <c r="F214">
        <f t="shared" si="20"/>
        <v>0.37951132511158348</v>
      </c>
      <c r="G214">
        <f t="shared" si="21"/>
        <v>278.33234018511286</v>
      </c>
      <c r="H214">
        <f>G214 - Euler!E214</f>
        <v>8.0114576913331348E-2</v>
      </c>
    </row>
    <row r="215" spans="1:8" x14ac:dyDescent="0.35">
      <c r="A215">
        <v>206</v>
      </c>
      <c r="B215">
        <f t="shared" si="22"/>
        <v>206</v>
      </c>
      <c r="C215">
        <f t="shared" si="23"/>
        <v>278.33234018511286</v>
      </c>
      <c r="D215">
        <f t="shared" si="18"/>
        <v>0.37956707052126737</v>
      </c>
      <c r="E215">
        <f t="shared" si="19"/>
        <v>278.71190725563412</v>
      </c>
      <c r="F215">
        <f t="shared" si="20"/>
        <v>0.37311151473840615</v>
      </c>
      <c r="G215">
        <f t="shared" si="21"/>
        <v>278.70867947774269</v>
      </c>
      <c r="H215">
        <f>G215 - Euler!E215</f>
        <v>7.5525146499217044E-2</v>
      </c>
    </row>
    <row r="216" spans="1:8" x14ac:dyDescent="0.35">
      <c r="A216">
        <v>207</v>
      </c>
      <c r="B216">
        <f t="shared" si="22"/>
        <v>207</v>
      </c>
      <c r="C216">
        <f t="shared" si="23"/>
        <v>278.70867947774269</v>
      </c>
      <c r="D216">
        <f t="shared" si="18"/>
        <v>0.37316644177409924</v>
      </c>
      <c r="E216">
        <f t="shared" si="19"/>
        <v>279.08184591951681</v>
      </c>
      <c r="F216">
        <f t="shared" si="20"/>
        <v>0.36681286789851753</v>
      </c>
      <c r="G216">
        <f t="shared" si="21"/>
        <v>279.07866913257902</v>
      </c>
      <c r="H216">
        <f>G216 - Euler!E216</f>
        <v>7.1063296476211235E-2</v>
      </c>
    </row>
    <row r="217" spans="1:8" x14ac:dyDescent="0.35">
      <c r="A217">
        <v>208</v>
      </c>
      <c r="B217">
        <f t="shared" si="22"/>
        <v>208</v>
      </c>
      <c r="C217">
        <f t="shared" si="23"/>
        <v>279.07866913257902</v>
      </c>
      <c r="D217">
        <f t="shared" si="18"/>
        <v>0.36686698522757649</v>
      </c>
      <c r="E217">
        <f t="shared" si="19"/>
        <v>279.44553611780663</v>
      </c>
      <c r="F217">
        <f t="shared" si="20"/>
        <v>0.36061402993255082</v>
      </c>
      <c r="G217">
        <f t="shared" si="21"/>
        <v>279.4424096401591</v>
      </c>
      <c r="H217">
        <f>G217 - Euler!E217</f>
        <v>6.6726368587865181E-2</v>
      </c>
    </row>
    <row r="218" spans="1:8" x14ac:dyDescent="0.35">
      <c r="A218">
        <v>209</v>
      </c>
      <c r="B218">
        <f t="shared" si="22"/>
        <v>209</v>
      </c>
      <c r="C218">
        <f t="shared" si="23"/>
        <v>279.4424096401591</v>
      </c>
      <c r="D218">
        <f t="shared" si="18"/>
        <v>0.36066734626126218</v>
      </c>
      <c r="E218">
        <f t="shared" si="19"/>
        <v>279.80307698642036</v>
      </c>
      <c r="F218">
        <f t="shared" si="20"/>
        <v>0.35451365503943932</v>
      </c>
      <c r="G218">
        <f t="shared" si="21"/>
        <v>279.80000014080946</v>
      </c>
      <c r="H218">
        <f>G218 - Euler!E218</f>
        <v>6.2511742176468488E-2</v>
      </c>
    </row>
    <row r="219" spans="1:8" x14ac:dyDescent="0.35">
      <c r="A219">
        <v>210</v>
      </c>
      <c r="B219">
        <f t="shared" si="22"/>
        <v>210</v>
      </c>
      <c r="C219">
        <f t="shared" si="23"/>
        <v>279.80000014080946</v>
      </c>
      <c r="D219">
        <f t="shared" si="18"/>
        <v>0.35456617910634541</v>
      </c>
      <c r="E219">
        <f t="shared" si="19"/>
        <v>280.15456631991583</v>
      </c>
      <c r="F219">
        <f t="shared" si="20"/>
        <v>0.34851040662637445</v>
      </c>
      <c r="G219">
        <f t="shared" si="21"/>
        <v>280.1515384336758</v>
      </c>
      <c r="H219">
        <f>G219 - Euler!E219</f>
        <v>5.8416834295314857E-2</v>
      </c>
    </row>
    <row r="220" spans="1:8" x14ac:dyDescent="0.35">
      <c r="A220">
        <v>211</v>
      </c>
      <c r="B220">
        <f t="shared" si="22"/>
        <v>211</v>
      </c>
      <c r="C220">
        <f t="shared" si="23"/>
        <v>280.1515384336758</v>
      </c>
      <c r="D220">
        <f t="shared" si="18"/>
        <v>0.34856214719586698</v>
      </c>
      <c r="E220">
        <f t="shared" si="19"/>
        <v>280.50010058087167</v>
      </c>
      <c r="F220">
        <f t="shared" si="20"/>
        <v>0.34260295763630289</v>
      </c>
      <c r="G220">
        <f t="shared" si="21"/>
        <v>280.49712098609189</v>
      </c>
      <c r="H220">
        <f>G220 - Euler!E220</f>
        <v>5.4439099784133305E-2</v>
      </c>
    </row>
    <row r="221" spans="1:8" x14ac:dyDescent="0.35">
      <c r="A221">
        <v>212</v>
      </c>
      <c r="B221">
        <f t="shared" si="22"/>
        <v>212</v>
      </c>
      <c r="C221">
        <f t="shared" si="23"/>
        <v>280.49712098609189</v>
      </c>
      <c r="D221">
        <f t="shared" si="18"/>
        <v>0.34265392349251311</v>
      </c>
      <c r="E221">
        <f t="shared" si="19"/>
        <v>280.83977490958438</v>
      </c>
      <c r="F221">
        <f t="shared" si="20"/>
        <v>0.33678999085388839</v>
      </c>
      <c r="G221">
        <f t="shared" si="21"/>
        <v>280.83684294326508</v>
      </c>
      <c r="H221">
        <f>G221 - Euler!E221</f>
        <v>5.0576031309731206E-2</v>
      </c>
    </row>
    <row r="222" spans="1:8" x14ac:dyDescent="0.35">
      <c r="A222">
        <v>213</v>
      </c>
      <c r="B222">
        <f t="shared" si="22"/>
        <v>213</v>
      </c>
      <c r="C222">
        <f t="shared" si="23"/>
        <v>280.83684294326508</v>
      </c>
      <c r="D222">
        <f t="shared" si="18"/>
        <v>0.33684019079483091</v>
      </c>
      <c r="E222">
        <f t="shared" si="19"/>
        <v>281.1736831340599</v>
      </c>
      <c r="F222">
        <f t="shared" si="20"/>
        <v>0.3310701991907547</v>
      </c>
      <c r="G222">
        <f t="shared" si="21"/>
        <v>281.17079813825785</v>
      </c>
      <c r="H222">
        <f>G222 - Euler!E222</f>
        <v>4.6825159373725E-2</v>
      </c>
    </row>
    <row r="223" spans="1:8" x14ac:dyDescent="0.35">
      <c r="A223">
        <v>214</v>
      </c>
      <c r="B223">
        <f t="shared" si="22"/>
        <v>214</v>
      </c>
      <c r="C223">
        <f t="shared" si="23"/>
        <v>281.17079813825785</v>
      </c>
      <c r="D223">
        <f t="shared" si="18"/>
        <v>0.33111964202274807</v>
      </c>
      <c r="E223">
        <f t="shared" si="19"/>
        <v>281.50191778028062</v>
      </c>
      <c r="F223">
        <f t="shared" si="20"/>
        <v>0.32544228595085511</v>
      </c>
      <c r="G223">
        <f t="shared" si="21"/>
        <v>281.49907910224465</v>
      </c>
      <c r="H223">
        <f>G223 - Euler!E223</f>
        <v>4.3184052288893326E-2</v>
      </c>
    </row>
    <row r="224" spans="1:8" x14ac:dyDescent="0.35">
      <c r="A224">
        <v>215</v>
      </c>
      <c r="B224">
        <f t="shared" si="22"/>
        <v>215</v>
      </c>
      <c r="C224">
        <f t="shared" si="23"/>
        <v>281.49907910224465</v>
      </c>
      <c r="D224">
        <f t="shared" si="18"/>
        <v>0.32549098048318104</v>
      </c>
      <c r="E224">
        <f t="shared" si="19"/>
        <v>281.8245700827278</v>
      </c>
      <c r="F224">
        <f t="shared" si="20"/>
        <v>0.31990496507676197</v>
      </c>
      <c r="G224">
        <f t="shared" si="21"/>
        <v>281.82177707502461</v>
      </c>
      <c r="H224">
        <f>G224 - Euler!E224</f>
        <v>3.9650316125914742E-2</v>
      </c>
    </row>
    <row r="225" spans="1:8" x14ac:dyDescent="0.35">
      <c r="A225">
        <v>216</v>
      </c>
      <c r="B225">
        <f t="shared" si="22"/>
        <v>216</v>
      </c>
      <c r="C225">
        <f t="shared" si="23"/>
        <v>281.82177707502461</v>
      </c>
      <c r="D225">
        <f t="shared" si="18"/>
        <v>0.31995292011657089</v>
      </c>
      <c r="E225">
        <f t="shared" si="19"/>
        <v>282.14172999514119</v>
      </c>
      <c r="F225">
        <f t="shared" si="20"/>
        <v>0.31445696137763973</v>
      </c>
      <c r="G225">
        <f t="shared" si="21"/>
        <v>282.13898201577172</v>
      </c>
      <c r="H225">
        <f>G225 - Euler!E225</f>
        <v>3.622159463253638E-2</v>
      </c>
    </row>
    <row r="226" spans="1:8" x14ac:dyDescent="0.35">
      <c r="A226">
        <v>217</v>
      </c>
      <c r="B226">
        <f t="shared" si="22"/>
        <v>217</v>
      </c>
      <c r="C226">
        <f t="shared" si="23"/>
        <v>282.13898201577172</v>
      </c>
      <c r="D226">
        <f t="shared" si="18"/>
        <v>0.31450418572510347</v>
      </c>
      <c r="E226">
        <f t="shared" si="19"/>
        <v>282.45348620149684</v>
      </c>
      <c r="F226">
        <f t="shared" si="20"/>
        <v>0.30909701073967638</v>
      </c>
      <c r="G226">
        <f t="shared" si="21"/>
        <v>282.45078261400408</v>
      </c>
      <c r="H226">
        <f>G226 - Euler!E226</f>
        <v>3.2895569126026203E-2</v>
      </c>
    </row>
    <row r="227" spans="1:8" x14ac:dyDescent="0.35">
      <c r="A227">
        <v>218</v>
      </c>
      <c r="B227">
        <f t="shared" si="22"/>
        <v>218</v>
      </c>
      <c r="C227">
        <f t="shared" si="23"/>
        <v>282.45078261400408</v>
      </c>
      <c r="D227">
        <f t="shared" si="18"/>
        <v>0.30914351318335798</v>
      </c>
      <c r="E227">
        <f t="shared" si="19"/>
        <v>282.75992612718744</v>
      </c>
      <c r="F227">
        <f t="shared" si="20"/>
        <v>0.30382386031966474</v>
      </c>
      <c r="G227">
        <f t="shared" si="21"/>
        <v>282.75726630075559</v>
      </c>
      <c r="H227">
        <f>G227 - Euler!E227</f>
        <v>2.966995836118258E-2</v>
      </c>
    </row>
    <row r="228" spans="1:8" x14ac:dyDescent="0.35">
      <c r="A228">
        <v>219</v>
      </c>
      <c r="B228">
        <f t="shared" si="22"/>
        <v>219</v>
      </c>
      <c r="C228">
        <f t="shared" si="23"/>
        <v>282.75726630075559</v>
      </c>
      <c r="D228">
        <f t="shared" si="18"/>
        <v>0.30386964963211377</v>
      </c>
      <c r="E228">
        <f t="shared" si="19"/>
        <v>283.06113595038772</v>
      </c>
      <c r="F228">
        <f t="shared" si="20"/>
        <v>0.29863626872244514</v>
      </c>
      <c r="G228">
        <f t="shared" si="21"/>
        <v>283.05851925993289</v>
      </c>
      <c r="H228">
        <f>G228 - Euler!E228</f>
        <v>2.6542518374697011E-2</v>
      </c>
    </row>
    <row r="229" spans="1:8" x14ac:dyDescent="0.35">
      <c r="A229">
        <v>220</v>
      </c>
      <c r="B229">
        <f t="shared" si="22"/>
        <v>220</v>
      </c>
      <c r="C229">
        <f t="shared" si="23"/>
        <v>283.05851925993289</v>
      </c>
      <c r="D229">
        <f t="shared" si="18"/>
        <v>0.29868135365601223</v>
      </c>
      <c r="E229">
        <f t="shared" si="19"/>
        <v>283.35720061358893</v>
      </c>
      <c r="F229">
        <f t="shared" si="20"/>
        <v>0.2935330061629105</v>
      </c>
      <c r="G229">
        <f t="shared" si="21"/>
        <v>283.35462643984238</v>
      </c>
      <c r="H229">
        <f>G229 - Euler!E229</f>
        <v>2.3511042307688967E-2</v>
      </c>
    </row>
    <row r="230" spans="1:8" x14ac:dyDescent="0.35">
      <c r="A230">
        <v>221</v>
      </c>
      <c r="B230">
        <f t="shared" si="22"/>
        <v>221</v>
      </c>
      <c r="C230">
        <f t="shared" si="23"/>
        <v>283.35462643984238</v>
      </c>
      <c r="D230">
        <f t="shared" si="18"/>
        <v>0.29357739544575356</v>
      </c>
      <c r="E230">
        <f t="shared" si="19"/>
        <v>283.64820383528814</v>
      </c>
      <c r="F230">
        <f t="shared" si="20"/>
        <v>0.28851285461317028</v>
      </c>
      <c r="G230">
        <f t="shared" si="21"/>
        <v>283.64567156487186</v>
      </c>
      <c r="H230">
        <f>G230 - Euler!E230</f>
        <v>2.057336020772027E-2</v>
      </c>
    </row>
    <row r="231" spans="1:8" x14ac:dyDescent="0.35">
      <c r="A231">
        <v>222</v>
      </c>
      <c r="B231">
        <f t="shared" si="22"/>
        <v>222</v>
      </c>
      <c r="C231">
        <f t="shared" si="23"/>
        <v>283.64567156487186</v>
      </c>
      <c r="D231">
        <f t="shared" si="18"/>
        <v>0.28855655694548621</v>
      </c>
      <c r="E231">
        <f t="shared" si="19"/>
        <v>283.93422812181734</v>
      </c>
      <c r="F231">
        <f t="shared" si="20"/>
        <v>0.28357460793557471</v>
      </c>
      <c r="G231">
        <f t="shared" si="21"/>
        <v>283.93173714731239</v>
      </c>
      <c r="H231">
        <f>G231 - Euler!E231</f>
        <v>1.7727338811255322E-2</v>
      </c>
    </row>
    <row r="232" spans="1:8" x14ac:dyDescent="0.35">
      <c r="A232">
        <v>223</v>
      </c>
      <c r="B232">
        <f t="shared" si="22"/>
        <v>223</v>
      </c>
      <c r="C232">
        <f t="shared" si="23"/>
        <v>283.93173714731239</v>
      </c>
      <c r="D232">
        <f t="shared" si="18"/>
        <v>0.28361763198599038</v>
      </c>
      <c r="E232">
        <f t="shared" si="19"/>
        <v>284.21535477929837</v>
      </c>
      <c r="F232">
        <f t="shared" si="20"/>
        <v>0.27871707200213947</v>
      </c>
      <c r="G232">
        <f t="shared" si="21"/>
        <v>284.21290449930643</v>
      </c>
      <c r="H232">
        <f>G232 - Euler!E232</f>
        <v>1.497088130827251E-2</v>
      </c>
    </row>
    <row r="233" spans="1:8" x14ac:dyDescent="0.35">
      <c r="A233">
        <v>224</v>
      </c>
      <c r="B233">
        <f t="shared" si="22"/>
        <v>224</v>
      </c>
      <c r="C233">
        <f t="shared" si="23"/>
        <v>284.21290449930643</v>
      </c>
      <c r="D233">
        <f t="shared" si="18"/>
        <v>0.27875942640432516</v>
      </c>
      <c r="E233">
        <f t="shared" si="19"/>
        <v>284.49166392571078</v>
      </c>
      <c r="F233">
        <f t="shared" si="20"/>
        <v>0.27393906480102836</v>
      </c>
      <c r="G233">
        <f t="shared" si="21"/>
        <v>284.48925374490909</v>
      </c>
      <c r="H233">
        <f>G233 - Euler!E233</f>
        <v>1.2301927089765741E-2</v>
      </c>
    </row>
    <row r="234" spans="1:8" x14ac:dyDescent="0.35">
      <c r="A234">
        <v>225</v>
      </c>
      <c r="B234">
        <f t="shared" si="22"/>
        <v>225</v>
      </c>
      <c r="C234">
        <f t="shared" si="23"/>
        <v>284.48925374490909</v>
      </c>
      <c r="D234">
        <f t="shared" si="18"/>
        <v>0.27398075815045841</v>
      </c>
      <c r="E234">
        <f t="shared" si="19"/>
        <v>284.76323450305955</v>
      </c>
      <c r="F234">
        <f t="shared" si="20"/>
        <v>0.26923941653059669</v>
      </c>
      <c r="G234">
        <f t="shared" si="21"/>
        <v>284.76086383224964</v>
      </c>
      <c r="H234">
        <f>G234 - Euler!E234</f>
        <v>9.7184514795571886E-3</v>
      </c>
    </row>
    <row r="235" spans="1:8" x14ac:dyDescent="0.35">
      <c r="A235">
        <v>226</v>
      </c>
      <c r="B235">
        <f t="shared" si="22"/>
        <v>226</v>
      </c>
      <c r="C235">
        <f t="shared" si="23"/>
        <v>284.76086383224964</v>
      </c>
      <c r="D235">
        <f t="shared" si="18"/>
        <v>0.26928045738150169</v>
      </c>
      <c r="E235">
        <f t="shared" si="19"/>
        <v>285.03014428963115</v>
      </c>
      <c r="F235">
        <f t="shared" si="20"/>
        <v>0.26461696968159099</v>
      </c>
      <c r="G235">
        <f t="shared" si="21"/>
        <v>285.02781254578116</v>
      </c>
      <c r="H235">
        <f>G235 - Euler!E235</f>
        <v>7.2184654511033841E-3</v>
      </c>
    </row>
    <row r="236" spans="1:8" x14ac:dyDescent="0.35">
      <c r="A236">
        <v>227</v>
      </c>
      <c r="B236">
        <f t="shared" si="22"/>
        <v>227</v>
      </c>
      <c r="C236">
        <f t="shared" si="23"/>
        <v>285.02781254578116</v>
      </c>
      <c r="D236">
        <f t="shared" si="18"/>
        <v>0.26465736654408889</v>
      </c>
      <c r="E236">
        <f t="shared" si="19"/>
        <v>285.29246991232526</v>
      </c>
      <c r="F236">
        <f t="shared" si="20"/>
        <v>0.26007057910803849</v>
      </c>
      <c r="G236">
        <f t="shared" si="21"/>
        <v>285.29017651860721</v>
      </c>
      <c r="H236">
        <f>G236 - Euler!E236</f>
        <v>4.8000153312273142E-3</v>
      </c>
    </row>
    <row r="237" spans="1:8" x14ac:dyDescent="0.35">
      <c r="A237">
        <v>228</v>
      </c>
      <c r="B237">
        <f t="shared" si="22"/>
        <v>228</v>
      </c>
      <c r="C237">
        <f t="shared" si="23"/>
        <v>285.29017651860721</v>
      </c>
      <c r="D237">
        <f t="shared" si="18"/>
        <v>0.26011034044538867</v>
      </c>
      <c r="E237">
        <f t="shared" si="19"/>
        <v>285.55028685905262</v>
      </c>
      <c r="F237">
        <f t="shared" si="20"/>
        <v>0.25559911208727737</v>
      </c>
      <c r="G237">
        <f t="shared" si="21"/>
        <v>285.54803124487353</v>
      </c>
      <c r="H237">
        <f>G237 - Euler!E237</f>
        <v>2.461182490549163E-3</v>
      </c>
    </row>
    <row r="238" spans="1:8" x14ac:dyDescent="0.35">
      <c r="A238">
        <v>229</v>
      </c>
      <c r="B238">
        <f t="shared" si="22"/>
        <v>229</v>
      </c>
      <c r="C238">
        <f t="shared" si="23"/>
        <v>285.54803124487353</v>
      </c>
      <c r="D238">
        <f t="shared" si="18"/>
        <v>0.25563824631332616</v>
      </c>
      <c r="E238">
        <f t="shared" si="19"/>
        <v>285.80366949118684</v>
      </c>
      <c r="F238">
        <f t="shared" si="20"/>
        <v>0.25120144836969754</v>
      </c>
      <c r="G238">
        <f t="shared" si="21"/>
        <v>285.80145109221502</v>
      </c>
      <c r="H238">
        <f>G238 - Euler!E238</f>
        <v>2.0008302260521305E-4</v>
      </c>
    </row>
    <row r="239" spans="1:8" x14ac:dyDescent="0.35">
      <c r="A239">
        <v>230</v>
      </c>
      <c r="B239">
        <f t="shared" si="22"/>
        <v>230</v>
      </c>
      <c r="C239">
        <f t="shared" si="23"/>
        <v>285.80145109221502</v>
      </c>
      <c r="D239">
        <f t="shared" si="18"/>
        <v>0.25123996384646746</v>
      </c>
      <c r="E239">
        <f t="shared" si="19"/>
        <v>286.05269105606146</v>
      </c>
      <c r="F239">
        <f t="shared" si="20"/>
        <v>0.24687648021862965</v>
      </c>
      <c r="G239">
        <f t="shared" si="21"/>
        <v>286.05050931424756</v>
      </c>
      <c r="H239">
        <f>G239 - Euler!E239</f>
        <v>-1.9851325881745652E-3</v>
      </c>
    </row>
    <row r="240" spans="1:8" x14ac:dyDescent="0.35">
      <c r="A240">
        <v>231</v>
      </c>
      <c r="B240">
        <f t="shared" si="22"/>
        <v>231</v>
      </c>
      <c r="C240">
        <f t="shared" si="23"/>
        <v>286.05050931424756</v>
      </c>
      <c r="D240">
        <f t="shared" si="18"/>
        <v>0.24691438525402862</v>
      </c>
      <c r="E240">
        <f t="shared" si="19"/>
        <v>286.29742369950156</v>
      </c>
      <c r="F240">
        <f t="shared" si="20"/>
        <v>0.24262311244082804</v>
      </c>
      <c r="G240">
        <f t="shared" si="21"/>
        <v>286.295278063095</v>
      </c>
      <c r="H240">
        <f>G240 - Euler!E240</f>
        <v>-4.0962798080954599E-3</v>
      </c>
    </row>
    <row r="241" spans="1:8" x14ac:dyDescent="0.35">
      <c r="A241">
        <v>232</v>
      </c>
      <c r="B241">
        <f t="shared" si="22"/>
        <v>232</v>
      </c>
      <c r="C241">
        <f t="shared" si="23"/>
        <v>286.295278063095</v>
      </c>
      <c r="D241">
        <f t="shared" si="18"/>
        <v>0.2426604152865354</v>
      </c>
      <c r="E241">
        <f t="shared" si="19"/>
        <v>286.53793847838153</v>
      </c>
      <c r="F241">
        <f t="shared" si="20"/>
        <v>0.23844026240803179</v>
      </c>
      <c r="G241">
        <f t="shared" si="21"/>
        <v>286.5358284019423</v>
      </c>
      <c r="H241">
        <f>G241 - Euler!E241</f>
        <v>-6.1351404054335035E-3</v>
      </c>
    </row>
    <row r="242" spans="1:8" x14ac:dyDescent="0.35">
      <c r="A242">
        <v>233</v>
      </c>
      <c r="B242">
        <f t="shared" si="22"/>
        <v>233</v>
      </c>
      <c r="C242">
        <f t="shared" si="23"/>
        <v>286.5358284019423</v>
      </c>
      <c r="D242">
        <f t="shared" si="18"/>
        <v>0.23847697125748515</v>
      </c>
      <c r="E242">
        <f t="shared" si="19"/>
        <v>286.77430537319981</v>
      </c>
      <c r="F242">
        <f t="shared" si="20"/>
        <v>0.23432686006998732</v>
      </c>
      <c r="G242">
        <f t="shared" si="21"/>
        <v>286.77223031760604</v>
      </c>
      <c r="H242">
        <f>G242 - Euler!E242</f>
        <v>-8.1034628095721928E-3</v>
      </c>
    </row>
    <row r="243" spans="1:8" x14ac:dyDescent="0.35">
      <c r="A243">
        <v>234</v>
      </c>
      <c r="B243">
        <f t="shared" si="22"/>
        <v>234</v>
      </c>
      <c r="C243">
        <f t="shared" si="23"/>
        <v>286.77223031760604</v>
      </c>
      <c r="D243">
        <f t="shared" si="18"/>
        <v>0.23436298305651532</v>
      </c>
      <c r="E243">
        <f t="shared" si="19"/>
        <v>287.00659330066259</v>
      </c>
      <c r="F243">
        <f t="shared" si="20"/>
        <v>0.23028184795937304</v>
      </c>
      <c r="G243">
        <f t="shared" si="21"/>
        <v>287.004552733114</v>
      </c>
      <c r="H243">
        <f>G243 - Euler!E243</f>
        <v>-1.0002962478040445E-2</v>
      </c>
    </row>
    <row r="244" spans="1:8" x14ac:dyDescent="0.35">
      <c r="A244">
        <v>235</v>
      </c>
      <c r="B244">
        <f t="shared" si="22"/>
        <v>235</v>
      </c>
      <c r="C244">
        <f t="shared" si="23"/>
        <v>287.004552733114</v>
      </c>
      <c r="D244">
        <f t="shared" si="18"/>
        <v>0.23031739315444397</v>
      </c>
      <c r="E244">
        <f t="shared" si="19"/>
        <v>287.23487012626845</v>
      </c>
      <c r="F244">
        <f t="shared" si="20"/>
        <v>0.22630418118900272</v>
      </c>
      <c r="G244">
        <f t="shared" si="21"/>
        <v>287.23286352028572</v>
      </c>
      <c r="H244">
        <f>G244 - Euler!E244</f>
        <v>-1.1835322270144388E-2</v>
      </c>
    </row>
    <row r="245" spans="1:8" x14ac:dyDescent="0.35">
      <c r="A245">
        <v>236</v>
      </c>
      <c r="B245">
        <f t="shared" si="22"/>
        <v>236</v>
      </c>
      <c r="C245">
        <f t="shared" si="23"/>
        <v>287.23286352028572</v>
      </c>
      <c r="D245">
        <f t="shared" si="18"/>
        <v>0.22633915660060827</v>
      </c>
      <c r="E245">
        <f t="shared" si="19"/>
        <v>287.45920267688632</v>
      </c>
      <c r="F245">
        <f t="shared" si="20"/>
        <v>0.22239282744171152</v>
      </c>
      <c r="G245">
        <f t="shared" si="21"/>
        <v>287.45722951230687</v>
      </c>
      <c r="H245">
        <f>G245 - Euler!E245</f>
        <v>-1.360219282713615E-2</v>
      </c>
    </row>
    <row r="246" spans="1:8" x14ac:dyDescent="0.35">
      <c r="A246">
        <v>237</v>
      </c>
      <c r="B246">
        <f t="shared" si="22"/>
        <v>237</v>
      </c>
      <c r="C246">
        <f t="shared" si="23"/>
        <v>287.45722951230687</v>
      </c>
      <c r="D246">
        <f t="shared" si="18"/>
        <v>0.22242724101283831</v>
      </c>
      <c r="E246">
        <f t="shared" si="19"/>
        <v>287.6796567533197</v>
      </c>
      <c r="F246">
        <f t="shared" si="20"/>
        <v>0.21854676695327324</v>
      </c>
      <c r="G246">
        <f t="shared" si="21"/>
        <v>287.67771651628993</v>
      </c>
      <c r="H246">
        <f>G246 - Euler!E246</f>
        <v>-1.5305192957669078E-2</v>
      </c>
    </row>
    <row r="247" spans="1:8" x14ac:dyDescent="0.35">
      <c r="A247">
        <v>238</v>
      </c>
      <c r="B247">
        <f t="shared" si="22"/>
        <v>238</v>
      </c>
      <c r="C247">
        <f t="shared" si="23"/>
        <v>287.67771651628993</v>
      </c>
      <c r="D247">
        <f t="shared" si="18"/>
        <v>0.21858062656050622</v>
      </c>
      <c r="E247">
        <f t="shared" si="19"/>
        <v>287.89629714285041</v>
      </c>
      <c r="F247">
        <f t="shared" si="20"/>
        <v>0.21476499248869543</v>
      </c>
      <c r="G247">
        <f t="shared" si="21"/>
        <v>287.89438932581453</v>
      </c>
      <c r="H247">
        <f>G247 - Euler!E247</f>
        <v>-1.6945910028198341E-2</v>
      </c>
    </row>
    <row r="248" spans="1:8" x14ac:dyDescent="0.35">
      <c r="A248">
        <v>239</v>
      </c>
      <c r="B248">
        <f t="shared" si="22"/>
        <v>239</v>
      </c>
      <c r="C248">
        <f t="shared" si="23"/>
        <v>287.89438932581453</v>
      </c>
      <c r="D248">
        <f t="shared" si="18"/>
        <v>0.21479830594092197</v>
      </c>
      <c r="E248">
        <f t="shared" si="19"/>
        <v>288.10918763175545</v>
      </c>
      <c r="F248">
        <f t="shared" si="20"/>
        <v>0.2110465093122694</v>
      </c>
      <c r="G248">
        <f t="shared" si="21"/>
        <v>288.10731173344112</v>
      </c>
      <c r="H248">
        <f>G248 - Euler!E248</f>
        <v>-1.8525900357815317E-2</v>
      </c>
    </row>
    <row r="249" spans="1:8" x14ac:dyDescent="0.35">
      <c r="A249">
        <v>240</v>
      </c>
      <c r="B249">
        <f t="shared" si="22"/>
        <v>240</v>
      </c>
      <c r="C249">
        <f t="shared" si="23"/>
        <v>288.10731173344112</v>
      </c>
      <c r="D249">
        <f t="shared" si="18"/>
        <v>0.21107928434947923</v>
      </c>
      <c r="E249">
        <f t="shared" si="19"/>
        <v>288.31839101779059</v>
      </c>
      <c r="F249">
        <f t="shared" si="20"/>
        <v>0.20739033515166272</v>
      </c>
      <c r="G249">
        <f t="shared" si="21"/>
        <v>288.31654654319169</v>
      </c>
      <c r="H249">
        <f>G249 - Euler!E249</f>
        <v>-2.0046689616776803E-2</v>
      </c>
    </row>
    <row r="250" spans="1:8" x14ac:dyDescent="0.35">
      <c r="A250">
        <v>241</v>
      </c>
      <c r="B250">
        <f t="shared" si="22"/>
        <v>241</v>
      </c>
      <c r="C250">
        <f t="shared" si="23"/>
        <v>288.31654654319169</v>
      </c>
      <c r="D250">
        <f t="shared" si="18"/>
        <v>0.20742257944384185</v>
      </c>
      <c r="E250">
        <f t="shared" si="19"/>
        <v>288.52396912263555</v>
      </c>
      <c r="F250">
        <f t="shared" si="20"/>
        <v>0.20379550015638576</v>
      </c>
      <c r="G250">
        <f t="shared" si="21"/>
        <v>288.52215558299179</v>
      </c>
      <c r="H250">
        <f>G250 - Euler!E250</f>
        <v>-2.1509773228217455E-2</v>
      </c>
    </row>
    <row r="251" spans="1:8" x14ac:dyDescent="0.35">
      <c r="A251">
        <v>242</v>
      </c>
      <c r="B251">
        <f t="shared" si="22"/>
        <v>242</v>
      </c>
      <c r="C251">
        <f t="shared" si="23"/>
        <v>288.52215558299179</v>
      </c>
      <c r="D251">
        <f t="shared" si="18"/>
        <v>0.20382722130252381</v>
      </c>
      <c r="E251">
        <f t="shared" si="19"/>
        <v>288.72598280429429</v>
      </c>
      <c r="F251">
        <f t="shared" si="20"/>
        <v>0.20026104685094701</v>
      </c>
      <c r="G251">
        <f t="shared" si="21"/>
        <v>288.72419971706853</v>
      </c>
      <c r="H251">
        <f>G251 - Euler!E251</f>
        <v>-2.2916616772647558E-2</v>
      </c>
    </row>
    <row r="252" spans="1:8" x14ac:dyDescent="0.35">
      <c r="A252">
        <v>243</v>
      </c>
      <c r="B252">
        <f t="shared" si="22"/>
        <v>243</v>
      </c>
      <c r="C252">
        <f t="shared" si="23"/>
        <v>288.72419971706853</v>
      </c>
      <c r="D252">
        <f t="shared" si="18"/>
        <v>0.20029225237811205</v>
      </c>
      <c r="E252">
        <f t="shared" si="19"/>
        <v>288.92449196944665</v>
      </c>
      <c r="F252">
        <f t="shared" si="20"/>
        <v>0.19678603008296727</v>
      </c>
      <c r="G252">
        <f t="shared" si="21"/>
        <v>288.92273885829906</v>
      </c>
      <c r="H252">
        <f>G252 - Euler!E252</f>
        <v>-2.4268656394781374E-2</v>
      </c>
    </row>
    <row r="253" spans="1:8" x14ac:dyDescent="0.35">
      <c r="A253">
        <v>244</v>
      </c>
      <c r="B253">
        <f t="shared" si="22"/>
        <v>244</v>
      </c>
      <c r="C253">
        <f t="shared" si="23"/>
        <v>288.92273885829906</v>
      </c>
      <c r="D253">
        <f t="shared" si="18"/>
        <v>0.19681672744547665</v>
      </c>
      <c r="E253">
        <f t="shared" si="19"/>
        <v>289.11955558574454</v>
      </c>
      <c r="F253">
        <f t="shared" si="20"/>
        <v>0.19336951696655177</v>
      </c>
      <c r="G253">
        <f t="shared" si="21"/>
        <v>289.11783198050506</v>
      </c>
      <c r="H253">
        <f>G253 - Euler!E253</f>
        <v>-2.5567299211843419E-2</v>
      </c>
    </row>
    <row r="254" spans="1:8" x14ac:dyDescent="0.35">
      <c r="A254">
        <v>245</v>
      </c>
      <c r="B254">
        <f t="shared" si="22"/>
        <v>245</v>
      </c>
      <c r="C254">
        <f t="shared" si="23"/>
        <v>289.11783198050506</v>
      </c>
      <c r="D254">
        <f t="shared" si="18"/>
        <v>0.19339971354522195</v>
      </c>
      <c r="E254">
        <f t="shared" si="19"/>
        <v>289.31123169405026</v>
      </c>
      <c r="F254">
        <f t="shared" si="20"/>
        <v>0.19001058682117147</v>
      </c>
      <c r="G254">
        <f t="shared" si="21"/>
        <v>289.30953713068828</v>
      </c>
      <c r="H254">
        <f>G254 - Euler!E254</f>
        <v>-2.6813923723580046E-2</v>
      </c>
    </row>
    <row r="255" spans="1:8" x14ac:dyDescent="0.35">
      <c r="A255">
        <v>246</v>
      </c>
      <c r="B255">
        <f t="shared" si="22"/>
        <v>246</v>
      </c>
      <c r="C255">
        <f t="shared" si="23"/>
        <v>289.30953713068828</v>
      </c>
      <c r="D255">
        <f t="shared" si="18"/>
        <v>0.19004028992265093</v>
      </c>
      <c r="E255">
        <f t="shared" si="19"/>
        <v>289.49957742061093</v>
      </c>
      <c r="F255">
        <f t="shared" si="20"/>
        <v>0.18670833110633031</v>
      </c>
      <c r="G255">
        <f t="shared" si="21"/>
        <v>289.4979114412028</v>
      </c>
      <c r="H255">
        <f>G255 - Euler!E255</f>
        <v>-2.800988022306683E-2</v>
      </c>
    </row>
    <row r="256" spans="1:8" x14ac:dyDescent="0.35">
      <c r="A256">
        <v>247</v>
      </c>
      <c r="B256">
        <f t="shared" si="22"/>
        <v>247</v>
      </c>
      <c r="C256">
        <f t="shared" si="23"/>
        <v>289.4979114412028</v>
      </c>
      <c r="D256">
        <f t="shared" si="18"/>
        <v>0.18673754796251243</v>
      </c>
      <c r="E256">
        <f t="shared" si="19"/>
        <v>289.68464898916534</v>
      </c>
      <c r="F256">
        <f t="shared" si="20"/>
        <v>0.18346185335227375</v>
      </c>
      <c r="G256">
        <f t="shared" si="21"/>
        <v>289.68301114186022</v>
      </c>
      <c r="H256">
        <f>G256 - Euler!E256</f>
        <v>-2.9156491207913859E-2</v>
      </c>
    </row>
    <row r="257" spans="1:8" x14ac:dyDescent="0.35">
      <c r="A257">
        <v>248</v>
      </c>
      <c r="B257">
        <f t="shared" si="22"/>
        <v>248</v>
      </c>
      <c r="C257">
        <f t="shared" si="23"/>
        <v>289.68301114186022</v>
      </c>
      <c r="D257">
        <f t="shared" si="18"/>
        <v>0.18349059111975707</v>
      </c>
      <c r="E257">
        <f t="shared" si="19"/>
        <v>289.86650173298</v>
      </c>
      <c r="F257">
        <f t="shared" si="20"/>
        <v>0.18027026908693017</v>
      </c>
      <c r="G257">
        <f t="shared" si="21"/>
        <v>289.86489157196354</v>
      </c>
      <c r="H257">
        <f>G257 - Euler!E257</f>
        <v>-3.0255051791868937E-2</v>
      </c>
    </row>
    <row r="258" spans="1:8" x14ac:dyDescent="0.35">
      <c r="A258">
        <v>249</v>
      </c>
      <c r="B258">
        <f t="shared" si="22"/>
        <v>249</v>
      </c>
      <c r="C258">
        <f t="shared" si="23"/>
        <v>289.86489157196354</v>
      </c>
      <c r="D258">
        <f t="shared" si="18"/>
        <v>0.18029853484658004</v>
      </c>
      <c r="E258">
        <f t="shared" si="19"/>
        <v>290.04519010681014</v>
      </c>
      <c r="F258">
        <f t="shared" si="20"/>
        <v>0.17713270575937418</v>
      </c>
      <c r="G258">
        <f t="shared" si="21"/>
        <v>290.04360719226651</v>
      </c>
      <c r="H258">
        <f>G258 - Euler!E258</f>
        <v>-3.1306830116079709E-2</v>
      </c>
    </row>
    <row r="259" spans="1:8" x14ac:dyDescent="0.35">
      <c r="A259">
        <v>250</v>
      </c>
      <c r="B259">
        <f t="shared" si="22"/>
        <v>250</v>
      </c>
      <c r="C259">
        <f t="shared" si="23"/>
        <v>290.04360719226651</v>
      </c>
      <c r="D259">
        <f t="shared" si="18"/>
        <v>0.17716050651593268</v>
      </c>
      <c r="E259">
        <f t="shared" si="19"/>
        <v>290.22076769878242</v>
      </c>
      <c r="F259">
        <f t="shared" si="20"/>
        <v>0.17404830266000579</v>
      </c>
      <c r="G259">
        <f t="shared" si="21"/>
        <v>290.21921159685445</v>
      </c>
      <c r="H259">
        <f>G259 - Euler!E259</f>
        <v>-3.2313067760014746E-2</v>
      </c>
    </row>
    <row r="260" spans="1:8" x14ac:dyDescent="0.35">
      <c r="A260">
        <v>251</v>
      </c>
      <c r="B260">
        <f t="shared" si="22"/>
        <v>251</v>
      </c>
      <c r="C260">
        <f t="shared" si="23"/>
        <v>290.21921159685445</v>
      </c>
      <c r="D260">
        <f t="shared" si="18"/>
        <v>0.17407564534176728</v>
      </c>
      <c r="E260">
        <f t="shared" si="19"/>
        <v>290.39328724219621</v>
      </c>
      <c r="F260">
        <f t="shared" si="20"/>
        <v>0.1710162108376464</v>
      </c>
      <c r="G260">
        <f t="shared" si="21"/>
        <v>290.39175752494418</v>
      </c>
      <c r="H260">
        <f>G260 - Euler!E260</f>
        <v>-3.327498015147512E-2</v>
      </c>
    </row>
    <row r="261" spans="1:8" x14ac:dyDescent="0.35">
      <c r="A261">
        <v>252</v>
      </c>
      <c r="B261">
        <f t="shared" si="22"/>
        <v>252</v>
      </c>
      <c r="C261">
        <f t="shared" si="23"/>
        <v>290.39175752494418</v>
      </c>
      <c r="D261">
        <f t="shared" si="18"/>
        <v>0.17104310229619041</v>
      </c>
      <c r="E261">
        <f t="shared" si="19"/>
        <v>290.56280062724039</v>
      </c>
      <c r="F261">
        <f t="shared" si="20"/>
        <v>0.16803559301377613</v>
      </c>
      <c r="G261">
        <f t="shared" si="21"/>
        <v>290.56129687259914</v>
      </c>
      <c r="H261">
        <f>G261 - Euler!E261</f>
        <v>-3.4193756975639644E-2</v>
      </c>
    </row>
    <row r="262" spans="1:8" x14ac:dyDescent="0.35">
      <c r="A262">
        <v>253</v>
      </c>
      <c r="B262">
        <f t="shared" si="22"/>
        <v>253</v>
      </c>
      <c r="C262">
        <f t="shared" si="23"/>
        <v>290.56129687259914</v>
      </c>
      <c r="D262">
        <f t="shared" si="18"/>
        <v>0.16806204002376807</v>
      </c>
      <c r="E262">
        <f t="shared" si="19"/>
        <v>290.7293589126229</v>
      </c>
      <c r="F262">
        <f t="shared" si="20"/>
        <v>0.16510562349409225</v>
      </c>
      <c r="G262">
        <f t="shared" si="21"/>
        <v>290.72788070435809</v>
      </c>
      <c r="H262">
        <f>G262 - Euler!E262</f>
        <v>-3.5070562582347975E-2</v>
      </c>
    </row>
    <row r="263" spans="1:8" x14ac:dyDescent="0.35">
      <c r="A263">
        <v>254</v>
      </c>
      <c r="B263">
        <f t="shared" si="22"/>
        <v>254</v>
      </c>
      <c r="C263">
        <f t="shared" si="23"/>
        <v>290.72788070435809</v>
      </c>
      <c r="D263">
        <f t="shared" si="18"/>
        <v>0.16513163275312595</v>
      </c>
      <c r="E263">
        <f t="shared" si="19"/>
        <v>290.8930123371112</v>
      </c>
      <c r="F263">
        <f t="shared" si="20"/>
        <v>0.16222548807757675</v>
      </c>
      <c r="G263">
        <f t="shared" si="21"/>
        <v>290.89155926477343</v>
      </c>
      <c r="H263">
        <f>G263 - Euler!E263</f>
        <v>-3.5906536392474209E-2</v>
      </c>
    </row>
    <row r="264" spans="1:8" x14ac:dyDescent="0.35">
      <c r="A264">
        <v>255</v>
      </c>
      <c r="B264">
        <f t="shared" si="22"/>
        <v>255</v>
      </c>
      <c r="C264">
        <f t="shared" si="23"/>
        <v>290.89155926477343</v>
      </c>
      <c r="D264">
        <f t="shared" si="18"/>
        <v>0.16225106620607593</v>
      </c>
      <c r="E264">
        <f t="shared" si="19"/>
        <v>291.0538103309795</v>
      </c>
      <c r="F264">
        <f t="shared" si="20"/>
        <v>0.15939438396326019</v>
      </c>
      <c r="G264">
        <f t="shared" si="21"/>
        <v>291.05238198985808</v>
      </c>
      <c r="H264">
        <f>G264 - Euler!E264</f>
        <v>-3.6702793301572001E-2</v>
      </c>
    </row>
    <row r="265" spans="1:8" x14ac:dyDescent="0.35">
      <c r="A265">
        <v>256</v>
      </c>
      <c r="B265">
        <f t="shared" si="22"/>
        <v>256</v>
      </c>
      <c r="C265">
        <f t="shared" si="23"/>
        <v>291.05238198985808</v>
      </c>
      <c r="D265">
        <f t="shared" ref="D265:D328" si="24">$B$2 * POWER(C265,3/4) * (1 - POWER(C265/$B$4,1/4))</f>
        <v>0.15941953750443841</v>
      </c>
      <c r="E265">
        <f t="shared" ref="E265:E328" si="25">C265 + $B$3 * D265</f>
        <v>291.21180152736252</v>
      </c>
      <c r="F265">
        <f t="shared" ref="F265:F328" si="26">$B$2 * POWER(E265,3/4) * (1 - POWER(E265/$B$4,1/4))</f>
        <v>0.15661151965485309</v>
      </c>
      <c r="G265">
        <f t="shared" ref="G265:G328" si="27">C265 + ($B$3/2) * (D265 + F265)</f>
        <v>291.21039751843773</v>
      </c>
      <c r="H265">
        <f>G265 - Euler!E265</f>
        <v>-3.7460424081928068E-2</v>
      </c>
    </row>
    <row r="266" spans="1:8" x14ac:dyDescent="0.35">
      <c r="A266">
        <v>257</v>
      </c>
      <c r="B266">
        <f t="shared" ref="B266:B329" si="28">B265 + $B$3</f>
        <v>257</v>
      </c>
      <c r="C266">
        <f t="shared" ref="C266:C329" si="29">G265</f>
        <v>291.21039751843773</v>
      </c>
      <c r="D266">
        <f t="shared" si="24"/>
        <v>0.15663625507470097</v>
      </c>
      <c r="E266">
        <f t="shared" si="25"/>
        <v>291.36703377351245</v>
      </c>
      <c r="F266">
        <f t="shared" si="26"/>
        <v>0.15387611486339509</v>
      </c>
      <c r="G266">
        <f t="shared" si="27"/>
        <v>291.36565370340679</v>
      </c>
      <c r="H266">
        <f>G266 - Euler!E266</f>
        <v>-3.8180495782455637E-2</v>
      </c>
    </row>
    <row r="267" spans="1:8" x14ac:dyDescent="0.35">
      <c r="A267">
        <v>258</v>
      </c>
      <c r="B267">
        <f t="shared" si="28"/>
        <v>258</v>
      </c>
      <c r="C267">
        <f t="shared" si="29"/>
        <v>291.36565370340679</v>
      </c>
      <c r="D267">
        <f t="shared" si="24"/>
        <v>0.15390043855072971</v>
      </c>
      <c r="E267">
        <f t="shared" si="25"/>
        <v>291.51955414195754</v>
      </c>
      <c r="F267">
        <f t="shared" si="26"/>
        <v>0.15118740040808876</v>
      </c>
      <c r="G267">
        <f t="shared" si="27"/>
        <v>291.51819762288619</v>
      </c>
      <c r="H267">
        <f>G267 - Euler!E267</f>
        <v>-3.8864052125518356E-2</v>
      </c>
    </row>
    <row r="268" spans="1:8" x14ac:dyDescent="0.35">
      <c r="A268">
        <v>259</v>
      </c>
      <c r="B268">
        <f t="shared" si="28"/>
        <v>259</v>
      </c>
      <c r="C268">
        <f t="shared" si="29"/>
        <v>291.51819762288619</v>
      </c>
      <c r="D268">
        <f t="shared" si="24"/>
        <v>0.15121131867463902</v>
      </c>
      <c r="E268">
        <f t="shared" si="25"/>
        <v>291.66940894156085</v>
      </c>
      <c r="F268">
        <f t="shared" si="26"/>
        <v>0.14854461811548023</v>
      </c>
      <c r="G268">
        <f t="shared" si="27"/>
        <v>291.66807559128125</v>
      </c>
      <c r="H268">
        <f>G268 - Euler!E268</f>
        <v>-3.9512113901480461E-2</v>
      </c>
    </row>
    <row r="269" spans="1:8" x14ac:dyDescent="0.35">
      <c r="A269">
        <v>260</v>
      </c>
      <c r="B269">
        <f t="shared" si="28"/>
        <v>260</v>
      </c>
      <c r="C269">
        <f t="shared" si="29"/>
        <v>291.66807559128125</v>
      </c>
      <c r="D269">
        <f t="shared" si="24"/>
        <v>0.14856813719601203</v>
      </c>
      <c r="E269">
        <f t="shared" si="25"/>
        <v>291.81664372847729</v>
      </c>
      <c r="F269">
        <f t="shared" si="26"/>
        <v>0.14594702071709786</v>
      </c>
      <c r="G269">
        <f t="shared" si="27"/>
        <v>291.81533317023781</v>
      </c>
      <c r="H269">
        <f>G269 - Euler!E269</f>
        <v>-4.0125679360244249E-2</v>
      </c>
    </row>
    <row r="270" spans="1:8" x14ac:dyDescent="0.35">
      <c r="A270">
        <v>261</v>
      </c>
      <c r="B270">
        <f t="shared" si="28"/>
        <v>261</v>
      </c>
      <c r="C270">
        <f t="shared" si="29"/>
        <v>291.81533317023781</v>
      </c>
      <c r="D270">
        <f t="shared" si="24"/>
        <v>0.14597014676958583</v>
      </c>
      <c r="E270">
        <f t="shared" si="25"/>
        <v>291.96130331700738</v>
      </c>
      <c r="F270">
        <f t="shared" si="26"/>
        <v>0.14339387174573678</v>
      </c>
      <c r="G270">
        <f t="shared" si="27"/>
        <v>291.96001517949549</v>
      </c>
      <c r="H270">
        <f>G270 - Euler!E270</f>
        <v>-4.0705724599717996E-2</v>
      </c>
    </row>
    <row r="271" spans="1:8" x14ac:dyDescent="0.35">
      <c r="A271">
        <v>262</v>
      </c>
      <c r="B271">
        <f t="shared" si="28"/>
        <v>262</v>
      </c>
      <c r="C271">
        <f t="shared" si="29"/>
        <v>291.96001517949549</v>
      </c>
      <c r="D271">
        <f t="shared" si="24"/>
        <v>0.1434166108515593</v>
      </c>
      <c r="E271">
        <f t="shared" si="25"/>
        <v>292.10343179034703</v>
      </c>
      <c r="F271">
        <f t="shared" si="26"/>
        <v>0.14088444543046025</v>
      </c>
      <c r="G271">
        <f t="shared" si="27"/>
        <v>292.10216570763652</v>
      </c>
      <c r="H271">
        <f>G271 - Euler!E271</f>
        <v>-4.1253203951214346E-2</v>
      </c>
    </row>
    <row r="272" spans="1:8" x14ac:dyDescent="0.35">
      <c r="A272">
        <v>263</v>
      </c>
      <c r="B272">
        <f t="shared" si="28"/>
        <v>263</v>
      </c>
      <c r="C272">
        <f t="shared" si="29"/>
        <v>292.10216570763652</v>
      </c>
      <c r="D272">
        <f t="shared" si="24"/>
        <v>0.14090680359464472</v>
      </c>
      <c r="E272">
        <f t="shared" si="25"/>
        <v>292.24307251123116</v>
      </c>
      <c r="F272">
        <f t="shared" si="26"/>
        <v>0.13841802659050187</v>
      </c>
      <c r="G272">
        <f t="shared" si="27"/>
        <v>292.24182812272909</v>
      </c>
      <c r="H272">
        <f>G272 - Euler!E272</f>
        <v>-4.1769050361381233E-2</v>
      </c>
    </row>
    <row r="273" spans="1:8" x14ac:dyDescent="0.35">
      <c r="A273">
        <v>264</v>
      </c>
      <c r="B273">
        <f t="shared" si="28"/>
        <v>264</v>
      </c>
      <c r="C273">
        <f t="shared" si="29"/>
        <v>292.24182812272909</v>
      </c>
      <c r="D273">
        <f t="shared" si="24"/>
        <v>0.13844000974199711</v>
      </c>
      <c r="E273">
        <f t="shared" si="25"/>
        <v>292.38026813247109</v>
      </c>
      <c r="F273">
        <f t="shared" si="26"/>
        <v>0.13599391052814871</v>
      </c>
      <c r="G273">
        <f t="shared" si="27"/>
        <v>292.37904508286414</v>
      </c>
      <c r="H273">
        <f>G273 - Euler!E273</f>
        <v>-4.225417577066537E-2</v>
      </c>
    </row>
    <row r="274" spans="1:8" x14ac:dyDescent="0.35">
      <c r="A274">
        <v>265</v>
      </c>
      <c r="B274">
        <f t="shared" si="28"/>
        <v>265</v>
      </c>
      <c r="C274">
        <f t="shared" si="29"/>
        <v>292.37904508286414</v>
      </c>
      <c r="D274">
        <f t="shared" si="24"/>
        <v>0.13601552452011909</v>
      </c>
      <c r="E274">
        <f t="shared" si="25"/>
        <v>292.51506060738427</v>
      </c>
      <c r="F274">
        <f t="shared" si="26"/>
        <v>0.13361140292074219</v>
      </c>
      <c r="G274">
        <f t="shared" si="27"/>
        <v>292.51385854658457</v>
      </c>
      <c r="H274">
        <f>G274 - Euler!E274</f>
        <v>-4.2709471488365125E-2</v>
      </c>
    </row>
    <row r="275" spans="1:8" x14ac:dyDescent="0.35">
      <c r="A275">
        <v>266</v>
      </c>
      <c r="B275">
        <f t="shared" si="28"/>
        <v>266</v>
      </c>
      <c r="C275">
        <f t="shared" si="29"/>
        <v>292.51385854658457</v>
      </c>
      <c r="D275">
        <f t="shared" si="24"/>
        <v>0.13363265353090073</v>
      </c>
      <c r="E275">
        <f t="shared" si="25"/>
        <v>292.6474912001155</v>
      </c>
      <c r="F275">
        <f t="shared" si="26"/>
        <v>0.131269819711891</v>
      </c>
      <c r="G275">
        <f t="shared" si="27"/>
        <v>292.64630978320599</v>
      </c>
      <c r="H275">
        <f>G275 - Euler!E275</f>
        <v>-4.3135808563931732E-2</v>
      </c>
    </row>
    <row r="276" spans="1:8" x14ac:dyDescent="0.35">
      <c r="A276">
        <v>267</v>
      </c>
      <c r="B276">
        <f t="shared" si="28"/>
        <v>267</v>
      </c>
      <c r="C276">
        <f t="shared" si="29"/>
        <v>292.64630978320599</v>
      </c>
      <c r="D276">
        <f t="shared" si="24"/>
        <v>0.13129071264286704</v>
      </c>
      <c r="E276">
        <f t="shared" si="25"/>
        <v>292.77760049584884</v>
      </c>
      <c r="F276">
        <f t="shared" si="26"/>
        <v>0.12896848700201918</v>
      </c>
      <c r="G276">
        <f t="shared" si="27"/>
        <v>292.77643938302845</v>
      </c>
      <c r="H276">
        <f>G276 - Euler!E276</f>
        <v>-4.3534038154405152E-2</v>
      </c>
    </row>
    <row r="277" spans="1:8" x14ac:dyDescent="0.35">
      <c r="A277">
        <v>268</v>
      </c>
      <c r="B277">
        <f t="shared" si="28"/>
        <v>268</v>
      </c>
      <c r="C277">
        <f t="shared" si="29"/>
        <v>292.77643938302845</v>
      </c>
      <c r="D277">
        <f t="shared" si="24"/>
        <v>0.12898902788173458</v>
      </c>
      <c r="E277">
        <f t="shared" si="25"/>
        <v>292.90542841091019</v>
      </c>
      <c r="F277">
        <f t="shared" si="26"/>
        <v>0.1267067409383259</v>
      </c>
      <c r="G277">
        <f t="shared" si="27"/>
        <v>292.90428726743846</v>
      </c>
      <c r="H277">
        <f>G277 - Euler!E277</f>
        <v>-4.3904991888041422E-2</v>
      </c>
    </row>
    <row r="278" spans="1:8" x14ac:dyDescent="0.35">
      <c r="A278">
        <v>269</v>
      </c>
      <c r="B278">
        <f t="shared" si="28"/>
        <v>269</v>
      </c>
      <c r="C278">
        <f t="shared" si="29"/>
        <v>292.90428726743846</v>
      </c>
      <c r="D278">
        <f t="shared" si="24"/>
        <v>0.12672693532041315</v>
      </c>
      <c r="E278">
        <f t="shared" si="25"/>
        <v>293.03101420275885</v>
      </c>
      <c r="F278">
        <f t="shared" si="26"/>
        <v>0.12448392760428517</v>
      </c>
      <c r="G278">
        <f t="shared" si="27"/>
        <v>293.02989269890082</v>
      </c>
      <c r="H278">
        <f>G278 - Euler!E278</f>
        <v>-4.4249482223904124E-2</v>
      </c>
    </row>
    <row r="279" spans="1:8" x14ac:dyDescent="0.35">
      <c r="A279">
        <v>270</v>
      </c>
      <c r="B279">
        <f t="shared" si="28"/>
        <v>270</v>
      </c>
      <c r="C279">
        <f t="shared" si="29"/>
        <v>293.02989269890082</v>
      </c>
      <c r="D279">
        <f t="shared" si="24"/>
        <v>0.12450378096851773</v>
      </c>
      <c r="E279">
        <f t="shared" si="25"/>
        <v>293.15439647986932</v>
      </c>
      <c r="F279">
        <f t="shared" si="26"/>
        <v>0.1222994029087327</v>
      </c>
      <c r="G279">
        <f t="shared" si="27"/>
        <v>293.15329429083943</v>
      </c>
      <c r="H279">
        <f>G279 - Euler!E279</f>
        <v>-4.4568302807647342E-2</v>
      </c>
    </row>
    <row r="280" spans="1:8" x14ac:dyDescent="0.35">
      <c r="A280">
        <v>271</v>
      </c>
      <c r="B280">
        <f t="shared" si="28"/>
        <v>271</v>
      </c>
      <c r="C280">
        <f t="shared" si="29"/>
        <v>293.15329429083943</v>
      </c>
      <c r="D280">
        <f t="shared" si="24"/>
        <v>0.12231892066148284</v>
      </c>
      <c r="E280">
        <f t="shared" si="25"/>
        <v>293.27561321150091</v>
      </c>
      <c r="F280">
        <f t="shared" si="26"/>
        <v>0.12015253247467243</v>
      </c>
      <c r="G280">
        <f t="shared" si="27"/>
        <v>293.27453001740753</v>
      </c>
      <c r="H280">
        <f>G280 - Euler!E280</f>
        <v>-4.4862228822864836E-2</v>
      </c>
    </row>
    <row r="281" spans="1:8" x14ac:dyDescent="0.35">
      <c r="A281">
        <v>272</v>
      </c>
      <c r="B281">
        <f t="shared" si="28"/>
        <v>272</v>
      </c>
      <c r="C281">
        <f t="shared" si="29"/>
        <v>293.27453001740753</v>
      </c>
      <c r="D281">
        <f t="shared" si="24"/>
        <v>0.1201717199493898</v>
      </c>
      <c r="E281">
        <f t="shared" si="25"/>
        <v>293.39470173735691</v>
      </c>
      <c r="F281">
        <f t="shared" si="26"/>
        <v>0.1180426915278491</v>
      </c>
      <c r="G281">
        <f t="shared" si="27"/>
        <v>293.39363722314613</v>
      </c>
      <c r="H281">
        <f>G281 - Euler!E281</f>
        <v>-4.5132017338630703E-2</v>
      </c>
    </row>
    <row r="282" spans="1:8" x14ac:dyDescent="0.35">
      <c r="A282">
        <v>273</v>
      </c>
      <c r="B282">
        <f t="shared" si="28"/>
        <v>273</v>
      </c>
      <c r="C282">
        <f t="shared" si="29"/>
        <v>293.39363722314613</v>
      </c>
      <c r="D282">
        <f t="shared" si="24"/>
        <v>0.11806155398555181</v>
      </c>
      <c r="E282">
        <f t="shared" si="25"/>
        <v>293.5116987771317</v>
      </c>
      <c r="F282">
        <f t="shared" si="26"/>
        <v>0.11596926478518189</v>
      </c>
      <c r="G282">
        <f t="shared" si="27"/>
        <v>293.5106526325315</v>
      </c>
      <c r="H282">
        <f>G282 - Euler!E282</f>
        <v>-4.5378407652378883E-2</v>
      </c>
    </row>
    <row r="283" spans="1:8" x14ac:dyDescent="0.35">
      <c r="A283">
        <v>274</v>
      </c>
      <c r="B283">
        <f t="shared" si="28"/>
        <v>274</v>
      </c>
      <c r="C283">
        <f t="shared" si="29"/>
        <v>293.5106526325315</v>
      </c>
      <c r="D283">
        <f t="shared" si="24"/>
        <v>0.11598780741497962</v>
      </c>
      <c r="E283">
        <f t="shared" si="25"/>
        <v>293.62664043994647</v>
      </c>
      <c r="F283">
        <f t="shared" si="26"/>
        <v>0.11393164634314273</v>
      </c>
      <c r="G283">
        <f t="shared" si="27"/>
        <v>293.62561235941058</v>
      </c>
      <c r="H283">
        <f>G283 - Euler!E283</f>
        <v>-4.5602121629087833E-2</v>
      </c>
    </row>
    <row r="284" spans="1:8" x14ac:dyDescent="0.35">
      <c r="A284">
        <v>275</v>
      </c>
      <c r="B284">
        <f t="shared" si="28"/>
        <v>275</v>
      </c>
      <c r="C284">
        <f t="shared" si="29"/>
        <v>293.62561235941058</v>
      </c>
      <c r="D284">
        <f t="shared" si="24"/>
        <v>0.11394987426275455</v>
      </c>
      <c r="E284">
        <f t="shared" si="25"/>
        <v>293.73956223367333</v>
      </c>
      <c r="F284">
        <f t="shared" si="26"/>
        <v>0.11192923956611477</v>
      </c>
      <c r="G284">
        <f t="shared" si="27"/>
        <v>293.73855191632504</v>
      </c>
      <c r="H284">
        <f>G284 - Euler!E284</f>
        <v>-4.580386403574721E-2</v>
      </c>
    </row>
    <row r="285" spans="1:8" x14ac:dyDescent="0.35">
      <c r="A285">
        <v>276</v>
      </c>
      <c r="B285">
        <f t="shared" si="28"/>
        <v>276</v>
      </c>
      <c r="C285">
        <f t="shared" si="29"/>
        <v>293.73855191632504</v>
      </c>
      <c r="D285">
        <f t="shared" si="24"/>
        <v>0.11194715782242896</v>
      </c>
      <c r="E285">
        <f t="shared" si="25"/>
        <v>293.85049907414748</v>
      </c>
      <c r="F285">
        <f t="shared" si="26"/>
        <v>0.10996145697484808</v>
      </c>
      <c r="G285">
        <f t="shared" si="27"/>
        <v>293.84950622372367</v>
      </c>
      <c r="H285">
        <f>G285 - Euler!E285</f>
        <v>-4.5984322871618133E-2</v>
      </c>
    </row>
    <row r="286" spans="1:8" x14ac:dyDescent="0.35">
      <c r="A286">
        <v>277</v>
      </c>
      <c r="B286">
        <f t="shared" si="28"/>
        <v>277</v>
      </c>
      <c r="C286">
        <f t="shared" si="29"/>
        <v>293.84950622372367</v>
      </c>
      <c r="D286">
        <f t="shared" si="24"/>
        <v>0.10997907054448068</v>
      </c>
      <c r="E286">
        <f t="shared" si="25"/>
        <v>293.95948529426812</v>
      </c>
      <c r="F286">
        <f t="shared" si="26"/>
        <v>0.10802772013502998</v>
      </c>
      <c r="G286">
        <f t="shared" si="27"/>
        <v>293.95850961906342</v>
      </c>
      <c r="H286">
        <f>G286 - Euler!E286</f>
        <v>-4.6144169694002812E-2</v>
      </c>
    </row>
    <row r="287" spans="1:8" x14ac:dyDescent="0.35">
      <c r="A287">
        <v>278</v>
      </c>
      <c r="B287">
        <f t="shared" si="28"/>
        <v>278</v>
      </c>
      <c r="C287">
        <f t="shared" si="29"/>
        <v>293.95850961906342</v>
      </c>
      <c r="D287">
        <f t="shared" si="24"/>
        <v>0.10804503392489535</v>
      </c>
      <c r="E287">
        <f t="shared" si="25"/>
        <v>294.06655465298832</v>
      </c>
      <c r="F287">
        <f t="shared" si="26"/>
        <v>0.10612745954607065</v>
      </c>
      <c r="G287">
        <f t="shared" si="27"/>
        <v>294.06559586579891</v>
      </c>
      <c r="H287">
        <f>G287 - Euler!E287</f>
        <v>-4.6284059939864619E-2</v>
      </c>
    </row>
    <row r="288" spans="1:8" x14ac:dyDescent="0.35">
      <c r="A288">
        <v>279</v>
      </c>
      <c r="B288">
        <f t="shared" si="28"/>
        <v>279</v>
      </c>
      <c r="C288">
        <f t="shared" si="29"/>
        <v>294.06559586579891</v>
      </c>
      <c r="D288">
        <f t="shared" si="24"/>
        <v>0.10614447839397081</v>
      </c>
      <c r="E288">
        <f t="shared" si="25"/>
        <v>294.17174034419287</v>
      </c>
      <c r="F288">
        <f t="shared" si="26"/>
        <v>0.10426011453011405</v>
      </c>
      <c r="G288">
        <f t="shared" si="27"/>
        <v>294.17079816226095</v>
      </c>
      <c r="H288">
        <f>G288 - Euler!E288</f>
        <v>-4.6404633242843829E-2</v>
      </c>
    </row>
    <row r="289" spans="1:8" x14ac:dyDescent="0.35">
      <c r="A289">
        <v>280</v>
      </c>
      <c r="B289">
        <f t="shared" si="28"/>
        <v>280</v>
      </c>
      <c r="C289">
        <f t="shared" si="29"/>
        <v>294.17079816226095</v>
      </c>
      <c r="D289">
        <f t="shared" si="24"/>
        <v>0.10427684320534215</v>
      </c>
      <c r="E289">
        <f t="shared" si="25"/>
        <v>294.27507500546631</v>
      </c>
      <c r="F289">
        <f t="shared" si="26"/>
        <v>0.1024251331213879</v>
      </c>
      <c r="G289">
        <f t="shared" si="27"/>
        <v>294.27414915042431</v>
      </c>
      <c r="H289">
        <f>G289 - Euler!E289</f>
        <v>-4.6506513746010114E-2</v>
      </c>
    </row>
    <row r="290" spans="1:8" x14ac:dyDescent="0.35">
      <c r="A290">
        <v>281</v>
      </c>
      <c r="B290">
        <f t="shared" si="28"/>
        <v>281</v>
      </c>
      <c r="C290">
        <f t="shared" si="29"/>
        <v>294.27414915042431</v>
      </c>
      <c r="D290">
        <f t="shared" si="24"/>
        <v>0.10244157632533689</v>
      </c>
      <c r="E290">
        <f t="shared" si="25"/>
        <v>294.37659072674967</v>
      </c>
      <c r="F290">
        <f t="shared" si="26"/>
        <v>0.10062197195589372</v>
      </c>
      <c r="G290">
        <f t="shared" si="27"/>
        <v>294.3756809245649</v>
      </c>
      <c r="H290">
        <f>G290 - Euler!E290</f>
        <v>-4.6590310409953872E-2</v>
      </c>
    </row>
    <row r="291" spans="1:8" x14ac:dyDescent="0.35">
      <c r="A291">
        <v>282</v>
      </c>
      <c r="B291">
        <f t="shared" si="28"/>
        <v>282</v>
      </c>
      <c r="C291">
        <f t="shared" si="29"/>
        <v>294.3756809245649</v>
      </c>
      <c r="D291">
        <f t="shared" si="24"/>
        <v>0.10063813432267266</v>
      </c>
      <c r="E291">
        <f t="shared" si="25"/>
        <v>294.47631905888755</v>
      </c>
      <c r="F291">
        <f t="shared" si="26"/>
        <v>9.8850096161502671E-2</v>
      </c>
      <c r="G291">
        <f t="shared" si="27"/>
        <v>294.47542503980696</v>
      </c>
      <c r="H291">
        <f>G291 - Euler!E291</f>
        <v>-4.6656617316614302E-2</v>
      </c>
    </row>
    <row r="292" spans="1:8" x14ac:dyDescent="0.35">
      <c r="A292">
        <v>283</v>
      </c>
      <c r="B292">
        <f t="shared" si="28"/>
        <v>283</v>
      </c>
      <c r="C292">
        <f t="shared" si="29"/>
        <v>294.47542503980696</v>
      </c>
      <c r="D292">
        <f t="shared" si="24"/>
        <v>9.8865982258566465E-2</v>
      </c>
      <c r="E292">
        <f t="shared" si="25"/>
        <v>294.57429102206555</v>
      </c>
      <c r="F292">
        <f t="shared" si="26"/>
        <v>9.7108979248514041E-2</v>
      </c>
      <c r="G292">
        <f t="shared" si="27"/>
        <v>294.57341252056051</v>
      </c>
      <c r="H292">
        <f>G292 - Euler!E292</f>
        <v>-4.6706013968560001E-2</v>
      </c>
    </row>
    <row r="293" spans="1:8" x14ac:dyDescent="0.35">
      <c r="A293">
        <v>284</v>
      </c>
      <c r="B293">
        <f t="shared" si="28"/>
        <v>284</v>
      </c>
      <c r="C293">
        <f t="shared" si="29"/>
        <v>294.57341252056051</v>
      </c>
      <c r="D293">
        <f t="shared" si="24"/>
        <v>9.7124593577303422E-2</v>
      </c>
      <c r="E293">
        <f t="shared" si="25"/>
        <v>294.6705371141378</v>
      </c>
      <c r="F293">
        <f t="shared" si="26"/>
        <v>9.539810300070492E-2</v>
      </c>
      <c r="G293">
        <f t="shared" si="27"/>
        <v>294.66967386884949</v>
      </c>
      <c r="H293">
        <f>G293 - Euler!E293</f>
        <v>-4.6739065584119999E-2</v>
      </c>
    </row>
    <row r="294" spans="1:8" x14ac:dyDescent="0.35">
      <c r="A294">
        <v>285</v>
      </c>
      <c r="B294">
        <f t="shared" si="28"/>
        <v>285</v>
      </c>
      <c r="C294">
        <f t="shared" si="29"/>
        <v>294.66967386884949</v>
      </c>
      <c r="D294">
        <f t="shared" si="24"/>
        <v>9.5413449997288721E-2</v>
      </c>
      <c r="E294">
        <f t="shared" si="25"/>
        <v>294.76508731884678</v>
      </c>
      <c r="F294">
        <f t="shared" si="26"/>
        <v>9.3716957366922066E-2</v>
      </c>
      <c r="G294">
        <f t="shared" si="27"/>
        <v>294.76423907253161</v>
      </c>
      <c r="H294">
        <f>G294 - Euler!E294</f>
        <v>-4.6756323387455723E-2</v>
      </c>
    </row>
    <row r="295" spans="1:8" x14ac:dyDescent="0.35">
      <c r="A295">
        <v>286</v>
      </c>
      <c r="B295">
        <f t="shared" si="28"/>
        <v>286</v>
      </c>
      <c r="C295">
        <f t="shared" si="29"/>
        <v>294.76423907253161</v>
      </c>
      <c r="D295">
        <f t="shared" si="24"/>
        <v>9.3732041402651081E-2</v>
      </c>
      <c r="E295">
        <f t="shared" si="25"/>
        <v>294.85797111393424</v>
      </c>
      <c r="F295">
        <f t="shared" si="26"/>
        <v>9.2065040353245045E-2</v>
      </c>
      <c r="G295">
        <f t="shared" si="27"/>
        <v>294.85713761340958</v>
      </c>
      <c r="H295">
        <f>G295 - Euler!E295</f>
        <v>-4.6758324894994985E-2</v>
      </c>
    </row>
    <row r="296" spans="1:8" x14ac:dyDescent="0.35">
      <c r="A296">
        <v>287</v>
      </c>
      <c r="B296">
        <f t="shared" si="28"/>
        <v>287</v>
      </c>
      <c r="C296">
        <f t="shared" si="29"/>
        <v>294.85713761340958</v>
      </c>
      <c r="D296">
        <f t="shared" si="24"/>
        <v>9.2079865735403596E-2</v>
      </c>
      <c r="E296">
        <f t="shared" si="25"/>
        <v>294.94921747914498</v>
      </c>
      <c r="F296">
        <f t="shared" si="26"/>
        <v>9.0441857915759025E-2</v>
      </c>
      <c r="G296">
        <f t="shared" si="27"/>
        <v>294.94839847523514</v>
      </c>
      <c r="H296">
        <f>G296 - Euler!E296</f>
        <v>-4.6745594196750062E-2</v>
      </c>
    </row>
    <row r="297" spans="1:8" x14ac:dyDescent="0.35">
      <c r="A297">
        <v>288</v>
      </c>
      <c r="B297">
        <f t="shared" si="28"/>
        <v>288</v>
      </c>
      <c r="C297">
        <f t="shared" si="29"/>
        <v>294.94839847523514</v>
      </c>
      <c r="D297">
        <f t="shared" si="24"/>
        <v>9.045642888822937E-2</v>
      </c>
      <c r="E297">
        <f t="shared" si="25"/>
        <v>295.03885490412335</v>
      </c>
      <c r="F297">
        <f t="shared" si="26"/>
        <v>8.8846923853985169E-2</v>
      </c>
      <c r="G297">
        <f t="shared" si="27"/>
        <v>295.03805015160623</v>
      </c>
      <c r="H297">
        <f>G297 - Euler!E297</f>
        <v>-4.6718642233656738E-2</v>
      </c>
    </row>
    <row r="298" spans="1:8" x14ac:dyDescent="0.35">
      <c r="A298">
        <v>289</v>
      </c>
      <c r="B298">
        <f t="shared" si="28"/>
        <v>289</v>
      </c>
      <c r="C298">
        <f t="shared" si="29"/>
        <v>295.03805015160623</v>
      </c>
      <c r="D298">
        <f t="shared" si="24"/>
        <v>8.8861244597915667E-2</v>
      </c>
      <c r="E298">
        <f t="shared" si="25"/>
        <v>295.12691139620415</v>
      </c>
      <c r="F298">
        <f t="shared" si="26"/>
        <v>8.7279759704977172E-2</v>
      </c>
      <c r="G298">
        <f t="shared" si="27"/>
        <v>295.12612065375765</v>
      </c>
      <c r="H298">
        <f>G298 - Euler!E298</f>
        <v>-4.667796707042271E-2</v>
      </c>
    </row>
    <row r="299" spans="1:8" x14ac:dyDescent="0.35">
      <c r="A299">
        <v>290</v>
      </c>
      <c r="B299">
        <f t="shared" si="28"/>
        <v>290</v>
      </c>
      <c r="C299">
        <f t="shared" si="29"/>
        <v>295.12612065375765</v>
      </c>
      <c r="D299">
        <f t="shared" si="24"/>
        <v>8.729383433944933E-2</v>
      </c>
      <c r="E299">
        <f t="shared" si="25"/>
        <v>295.2134144880971</v>
      </c>
      <c r="F299">
        <f t="shared" si="26"/>
        <v>8.5739894638124772E-2</v>
      </c>
      <c r="G299">
        <f t="shared" si="27"/>
        <v>295.21263751824642</v>
      </c>
      <c r="H299">
        <f>G299 - Euler!E299</f>
        <v>-4.6624054163999062E-2</v>
      </c>
    </row>
    <row r="300" spans="1:8" x14ac:dyDescent="0.35">
      <c r="A300">
        <v>291</v>
      </c>
      <c r="B300">
        <f t="shared" si="28"/>
        <v>291</v>
      </c>
      <c r="C300">
        <f t="shared" si="29"/>
        <v>295.21263751824642</v>
      </c>
      <c r="D300">
        <f t="shared" si="24"/>
        <v>8.5753727220830148E-2</v>
      </c>
      <c r="E300">
        <f t="shared" si="25"/>
        <v>295.29839124546726</v>
      </c>
      <c r="F300">
        <f t="shared" si="26"/>
        <v>8.422686535070989E-2</v>
      </c>
      <c r="G300">
        <f t="shared" si="27"/>
        <v>295.29762781453218</v>
      </c>
      <c r="H300">
        <f>G300 - Euler!E300</f>
        <v>-4.6557376627617941E-2</v>
      </c>
    </row>
    <row r="301" spans="1:8" x14ac:dyDescent="0.35">
      <c r="A301">
        <v>292</v>
      </c>
      <c r="B301">
        <f t="shared" si="28"/>
        <v>292</v>
      </c>
      <c r="C301">
        <f t="shared" si="29"/>
        <v>295.29762781453218</v>
      </c>
      <c r="D301">
        <f t="shared" si="24"/>
        <v>8.4240459878622526E-2</v>
      </c>
      <c r="E301">
        <f t="shared" si="25"/>
        <v>295.38186827441081</v>
      </c>
      <c r="F301">
        <f t="shared" si="26"/>
        <v>8.274021596420042E-2</v>
      </c>
      <c r="G301">
        <f t="shared" si="27"/>
        <v>295.38111815245361</v>
      </c>
      <c r="H301">
        <f>G301 - Euler!E301</f>
        <v>-4.6478395490737512E-2</v>
      </c>
    </row>
    <row r="302" spans="1:8" x14ac:dyDescent="0.35">
      <c r="A302">
        <v>293</v>
      </c>
      <c r="B302">
        <f t="shared" si="28"/>
        <v>293</v>
      </c>
      <c r="C302">
        <f t="shared" si="29"/>
        <v>295.38111815245361</v>
      </c>
      <c r="D302">
        <f t="shared" si="24"/>
        <v>8.275357637426202E-2</v>
      </c>
      <c r="E302">
        <f t="shared" si="25"/>
        <v>295.46387172882788</v>
      </c>
      <c r="F302">
        <f t="shared" si="26"/>
        <v>8.1279497921352639E-2</v>
      </c>
      <c r="G302">
        <f t="shared" si="27"/>
        <v>295.46313468960142</v>
      </c>
      <c r="H302">
        <f>G302 - Euler!E302</f>
        <v>-4.6387559954609969E-2</v>
      </c>
    </row>
    <row r="303" spans="1:8" x14ac:dyDescent="0.35">
      <c r="A303">
        <v>294</v>
      </c>
      <c r="B303">
        <f t="shared" si="28"/>
        <v>294</v>
      </c>
      <c r="C303">
        <f t="shared" si="29"/>
        <v>295.46313468960142</v>
      </c>
      <c r="D303">
        <f t="shared" si="24"/>
        <v>8.129262809114543E-2</v>
      </c>
      <c r="E303">
        <f t="shared" si="25"/>
        <v>295.54442731769257</v>
      </c>
      <c r="F303">
        <f t="shared" si="26"/>
        <v>7.9844269884102051E-2</v>
      </c>
      <c r="G303">
        <f t="shared" si="27"/>
        <v>295.54370313858902</v>
      </c>
      <c r="H303">
        <f>G303 - Euler!E303</f>
        <v>-4.6285307643415763E-2</v>
      </c>
    </row>
    <row r="304" spans="1:8" x14ac:dyDescent="0.35">
      <c r="A304">
        <v>295</v>
      </c>
      <c r="B304">
        <f t="shared" si="28"/>
        <v>295</v>
      </c>
      <c r="C304">
        <f t="shared" si="29"/>
        <v>295.54370313858902</v>
      </c>
      <c r="D304">
        <f t="shared" si="24"/>
        <v>7.9857173632537776E-2</v>
      </c>
      <c r="E304">
        <f t="shared" si="25"/>
        <v>295.62356031222157</v>
      </c>
      <c r="F304">
        <f t="shared" si="26"/>
        <v>7.8434097632299138E-2</v>
      </c>
      <c r="G304">
        <f t="shared" si="27"/>
        <v>295.62284877422144</v>
      </c>
      <c r="H304">
        <f>G304 - Euler!E304</f>
        <v>-4.6172064851418781E-2</v>
      </c>
    </row>
    <row r="305" spans="1:8" x14ac:dyDescent="0.35">
      <c r="A305">
        <v>296</v>
      </c>
      <c r="B305">
        <f t="shared" si="28"/>
        <v>296</v>
      </c>
      <c r="C305">
        <f t="shared" si="29"/>
        <v>295.62284877422144</v>
      </c>
      <c r="D305">
        <f t="shared" si="24"/>
        <v>7.8446778720292085E-2</v>
      </c>
      <c r="E305">
        <f t="shared" si="25"/>
        <v>295.70129555294176</v>
      </c>
      <c r="F305">
        <f t="shared" si="26"/>
        <v>7.704855396328017E-2</v>
      </c>
      <c r="G305">
        <f t="shared" si="27"/>
        <v>295.70059644056323</v>
      </c>
      <c r="H305">
        <f>G305 - Euler!E305</f>
        <v>-4.6048246785744595E-2</v>
      </c>
    </row>
    <row r="306" spans="1:8" x14ac:dyDescent="0.35">
      <c r="A306">
        <v>297</v>
      </c>
      <c r="B306">
        <f t="shared" si="28"/>
        <v>297</v>
      </c>
      <c r="C306">
        <f t="shared" si="29"/>
        <v>295.70059644056323</v>
      </c>
      <c r="D306">
        <f t="shared" si="24"/>
        <v>7.7061016094445003E-2</v>
      </c>
      <c r="E306">
        <f t="shared" si="25"/>
        <v>295.77765745665766</v>
      </c>
      <c r="F306">
        <f t="shared" si="26"/>
        <v>7.5687218592328534E-2</v>
      </c>
      <c r="G306">
        <f t="shared" si="27"/>
        <v>295.77697055790662</v>
      </c>
      <c r="H306">
        <f>G306 - Euler!E306</f>
        <v>-4.5914257805179659E-2</v>
      </c>
    </row>
    <row r="307" spans="1:8" x14ac:dyDescent="0.35">
      <c r="A307">
        <v>298</v>
      </c>
      <c r="B307">
        <f t="shared" si="28"/>
        <v>298</v>
      </c>
      <c r="C307">
        <f t="shared" si="29"/>
        <v>295.77697055790662</v>
      </c>
      <c r="D307">
        <f t="shared" si="24"/>
        <v>7.5699465413641892E-2</v>
      </c>
      <c r="E307">
        <f t="shared" si="25"/>
        <v>295.85267002332029</v>
      </c>
      <c r="F307">
        <f t="shared" si="26"/>
        <v>7.4349678053975285E-2</v>
      </c>
      <c r="G307">
        <f t="shared" si="27"/>
        <v>295.85199512964044</v>
      </c>
      <c r="H307">
        <f>G307 - Euler!E307</f>
        <v>-4.5770491654707257E-2</v>
      </c>
    </row>
    <row r="308" spans="1:8" x14ac:dyDescent="0.35">
      <c r="A308">
        <v>299</v>
      </c>
      <c r="B308">
        <f t="shared" si="28"/>
        <v>299</v>
      </c>
      <c r="C308">
        <f t="shared" si="29"/>
        <v>295.85199512964044</v>
      </c>
      <c r="D308">
        <f t="shared" si="24"/>
        <v>7.4361713156473094E-2</v>
      </c>
      <c r="E308">
        <f t="shared" si="25"/>
        <v>295.92635684279691</v>
      </c>
      <c r="F308">
        <f t="shared" si="26"/>
        <v>7.3035525604249918E-2</v>
      </c>
      <c r="G308">
        <f t="shared" si="27"/>
        <v>295.92569374902081</v>
      </c>
      <c r="H308">
        <f>G308 - Euler!E308</f>
        <v>-4.5617331696007568E-2</v>
      </c>
    </row>
    <row r="309" spans="1:8" x14ac:dyDescent="0.35">
      <c r="A309">
        <v>300</v>
      </c>
      <c r="B309">
        <f t="shared" si="28"/>
        <v>300</v>
      </c>
      <c r="C309">
        <f t="shared" si="29"/>
        <v>295.92569374902081</v>
      </c>
      <c r="D309">
        <f t="shared" si="24"/>
        <v>7.3047352523708461E-2</v>
      </c>
      <c r="E309">
        <f t="shared" si="25"/>
        <v>295.99874110154451</v>
      </c>
      <c r="F309">
        <f t="shared" si="26"/>
        <v>7.1744361123801517E-2</v>
      </c>
      <c r="G309">
        <f t="shared" si="27"/>
        <v>295.99808960584454</v>
      </c>
      <c r="H309">
        <f>G309 - Euler!E309</f>
        <v>-4.5455151133808158E-2</v>
      </c>
    </row>
    <row r="310" spans="1:8" x14ac:dyDescent="0.35">
      <c r="A310">
        <v>301</v>
      </c>
      <c r="B310">
        <f t="shared" si="28"/>
        <v>301</v>
      </c>
      <c r="C310">
        <f t="shared" si="29"/>
        <v>295.99808960584454</v>
      </c>
      <c r="D310">
        <f t="shared" si="24"/>
        <v>7.1755983341406537E-2</v>
      </c>
      <c r="E310">
        <f t="shared" si="25"/>
        <v>296.06984558918595</v>
      </c>
      <c r="F310">
        <f t="shared" si="26"/>
        <v>7.0475791021968506E-2</v>
      </c>
      <c r="G310">
        <f t="shared" si="27"/>
        <v>296.06920549302623</v>
      </c>
      <c r="H310">
        <f>G310 - Euler!E310</f>
        <v>-4.5284313238369123E-2</v>
      </c>
    </row>
    <row r="311" spans="1:8" x14ac:dyDescent="0.35">
      <c r="A311">
        <v>302</v>
      </c>
      <c r="B311">
        <f t="shared" si="28"/>
        <v>302</v>
      </c>
      <c r="C311">
        <f t="shared" si="29"/>
        <v>296.06920549302623</v>
      </c>
      <c r="D311">
        <f t="shared" si="24"/>
        <v>7.0487211965002197E-2</v>
      </c>
      <c r="E311">
        <f t="shared" si="25"/>
        <v>296.13969270499126</v>
      </c>
      <c r="F311">
        <f t="shared" si="26"/>
        <v>6.9229428141763111E-2</v>
      </c>
      <c r="G311">
        <f t="shared" si="27"/>
        <v>296.13906381307959</v>
      </c>
      <c r="H311">
        <f>G311 - Euler!E311</f>
        <v>-4.5105171564159718E-2</v>
      </c>
    </row>
    <row r="312" spans="1:8" x14ac:dyDescent="0.35">
      <c r="A312">
        <v>303</v>
      </c>
      <c r="B312">
        <f t="shared" si="28"/>
        <v>303</v>
      </c>
      <c r="C312">
        <f t="shared" si="29"/>
        <v>296.13906381307959</v>
      </c>
      <c r="D312">
        <f t="shared" si="24"/>
        <v>6.9240651184282978E-2</v>
      </c>
      <c r="E312">
        <f t="shared" si="25"/>
        <v>296.20830446426385</v>
      </c>
      <c r="F312">
        <f t="shared" si="26"/>
        <v>6.8004891665832651E-2</v>
      </c>
      <c r="G312">
        <f t="shared" si="27"/>
        <v>296.20768658450464</v>
      </c>
      <c r="H312">
        <f>G312 - Euler!E312</f>
        <v>-4.4918070164044366E-2</v>
      </c>
    </row>
    <row r="313" spans="1:8" x14ac:dyDescent="0.35">
      <c r="A313">
        <v>304</v>
      </c>
      <c r="B313">
        <f t="shared" si="28"/>
        <v>304</v>
      </c>
      <c r="C313">
        <f t="shared" si="29"/>
        <v>296.20768658450464</v>
      </c>
      <c r="D313">
        <f t="shared" si="24"/>
        <v>6.801592012932943E-2</v>
      </c>
      <c r="E313">
        <f t="shared" si="25"/>
        <v>296.27570250463395</v>
      </c>
      <c r="F313">
        <f t="shared" si="26"/>
        <v>6.6801807023331911E-2</v>
      </c>
      <c r="G313">
        <f t="shared" si="27"/>
        <v>296.27509544808095</v>
      </c>
      <c r="H313">
        <f>G313 - Euler!E313</f>
        <v>-4.4723343800171733E-2</v>
      </c>
    </row>
    <row r="314" spans="1:8" x14ac:dyDescent="0.35">
      <c r="A314">
        <v>305</v>
      </c>
      <c r="B314">
        <f t="shared" si="28"/>
        <v>305</v>
      </c>
      <c r="C314">
        <f t="shared" si="29"/>
        <v>296.27509544808095</v>
      </c>
      <c r="D314">
        <f t="shared" si="24"/>
        <v>6.6812644177421346E-2</v>
      </c>
      <c r="E314">
        <f t="shared" si="25"/>
        <v>296.34190809225839</v>
      </c>
      <c r="F314">
        <f t="shared" si="26"/>
        <v>6.5619805797799677E-2</v>
      </c>
      <c r="G314">
        <f t="shared" si="27"/>
        <v>296.34131167306856</v>
      </c>
      <c r="H314">
        <f>G314 - Euler!E314</f>
        <v>-4.4521318150771094E-2</v>
      </c>
    </row>
    <row r="315" spans="1:8" x14ac:dyDescent="0.35">
      <c r="A315">
        <v>306</v>
      </c>
      <c r="B315">
        <f t="shared" si="28"/>
        <v>306</v>
      </c>
      <c r="C315">
        <f t="shared" si="29"/>
        <v>296.34131167306856</v>
      </c>
      <c r="D315">
        <f t="shared" si="24"/>
        <v>6.5630454860878457E-2</v>
      </c>
      <c r="E315">
        <f t="shared" si="25"/>
        <v>296.40694212792943</v>
      </c>
      <c r="F315">
        <f t="shared" si="26"/>
        <v>6.445852563598084E-2</v>
      </c>
      <c r="G315">
        <f t="shared" si="27"/>
        <v>296.40635616331701</v>
      </c>
      <c r="H315">
        <f>G315 - Euler!E315</f>
        <v>-4.4312310013083334E-2</v>
      </c>
    </row>
    <row r="316" spans="1:8" x14ac:dyDescent="0.35">
      <c r="A316">
        <v>307</v>
      </c>
      <c r="B316">
        <f t="shared" si="28"/>
        <v>307</v>
      </c>
      <c r="C316">
        <f t="shared" si="29"/>
        <v>296.40635616331701</v>
      </c>
      <c r="D316">
        <f t="shared" si="24"/>
        <v>6.4468989775896032E-2</v>
      </c>
      <c r="E316">
        <f t="shared" si="25"/>
        <v>296.4708251530929</v>
      </c>
      <c r="F316">
        <f t="shared" si="26"/>
        <v>6.3317610157625673E-2</v>
      </c>
      <c r="G316">
        <f t="shared" si="27"/>
        <v>296.47024946328378</v>
      </c>
      <c r="H316">
        <f>G316 - Euler!E316</f>
        <v>-4.4096627502881347E-2</v>
      </c>
    </row>
    <row r="317" spans="1:8" x14ac:dyDescent="0.35">
      <c r="A317">
        <v>308</v>
      </c>
      <c r="B317">
        <f t="shared" si="28"/>
        <v>308</v>
      </c>
      <c r="C317">
        <f t="shared" si="29"/>
        <v>296.47024946328378</v>
      </c>
      <c r="D317">
        <f t="shared" si="24"/>
        <v>6.3327892492338778E-2</v>
      </c>
      <c r="E317">
        <f t="shared" si="25"/>
        <v>296.53357735577612</v>
      </c>
      <c r="F317">
        <f t="shared" si="26"/>
        <v>6.2196708866283042E-2</v>
      </c>
      <c r="G317">
        <f t="shared" si="27"/>
        <v>296.53301176396309</v>
      </c>
      <c r="H317">
        <f>G317 - Euler!E317</f>
        <v>-4.3874570249670342E-2</v>
      </c>
    </row>
    <row r="318" spans="1:8" x14ac:dyDescent="0.35">
      <c r="A318">
        <v>309</v>
      </c>
      <c r="B318">
        <f t="shared" si="28"/>
        <v>309</v>
      </c>
      <c r="C318">
        <f t="shared" si="29"/>
        <v>296.53301176396309</v>
      </c>
      <c r="D318">
        <f t="shared" si="24"/>
        <v>6.2206812464520735E-2</v>
      </c>
      <c r="E318">
        <f t="shared" si="25"/>
        <v>296.59521857642761</v>
      </c>
      <c r="F318">
        <f t="shared" si="26"/>
        <v>6.1095477061056856E-2</v>
      </c>
      <c r="G318">
        <f t="shared" si="27"/>
        <v>296.59466290872587</v>
      </c>
      <c r="H318">
        <f>G318 - Euler!E318</f>
        <v>-4.3646429588875435E-2</v>
      </c>
    </row>
    <row r="319" spans="1:8" x14ac:dyDescent="0.35">
      <c r="A319">
        <v>310</v>
      </c>
      <c r="B319">
        <f t="shared" si="28"/>
        <v>310</v>
      </c>
      <c r="C319">
        <f t="shared" si="29"/>
        <v>296.59466290872587</v>
      </c>
      <c r="D319">
        <f t="shared" si="24"/>
        <v>6.110540494297214E-2</v>
      </c>
      <c r="E319">
        <f t="shared" si="25"/>
        <v>296.65576831366883</v>
      </c>
      <c r="F319">
        <f t="shared" si="26"/>
        <v>6.0013575749374416E-2</v>
      </c>
      <c r="G319">
        <f t="shared" si="27"/>
        <v>296.65522239907204</v>
      </c>
      <c r="H319">
        <f>G319 - Euler!E319</f>
        <v>-4.3412488749993372E-2</v>
      </c>
    </row>
    <row r="320" spans="1:8" x14ac:dyDescent="0.35">
      <c r="A320">
        <v>311</v>
      </c>
      <c r="B320">
        <f t="shared" si="28"/>
        <v>311</v>
      </c>
      <c r="C320">
        <f t="shared" si="29"/>
        <v>296.65522239907204</v>
      </c>
      <c r="D320">
        <f t="shared" si="24"/>
        <v>6.0023330887198655E-2</v>
      </c>
      <c r="E320">
        <f t="shared" si="25"/>
        <v>296.71524572995924</v>
      </c>
      <c r="F320">
        <f t="shared" si="26"/>
        <v>5.8950671560726461E-2</v>
      </c>
      <c r="G320">
        <f t="shared" si="27"/>
        <v>296.71470940029599</v>
      </c>
      <c r="H320">
        <f>G320 - Euler!E320</f>
        <v>-4.3173023041561009E-2</v>
      </c>
    </row>
    <row r="321" spans="1:8" x14ac:dyDescent="0.35">
      <c r="A321">
        <v>312</v>
      </c>
      <c r="B321">
        <f t="shared" si="28"/>
        <v>312</v>
      </c>
      <c r="C321">
        <f t="shared" si="29"/>
        <v>296.71470940029599</v>
      </c>
      <c r="D321">
        <f t="shared" si="24"/>
        <v>5.8960256879414204E-2</v>
      </c>
      <c r="E321">
        <f t="shared" si="25"/>
        <v>296.77366965717539</v>
      </c>
      <c r="F321">
        <f t="shared" si="26"/>
        <v>5.790643666141472E-2</v>
      </c>
      <c r="G321">
        <f t="shared" si="27"/>
        <v>296.7731427470664</v>
      </c>
      <c r="H321">
        <f>G321 - Euler!E321</f>
        <v>-4.2928300031974231E-2</v>
      </c>
    </row>
    <row r="322" spans="1:8" x14ac:dyDescent="0.35">
      <c r="A322">
        <v>313</v>
      </c>
      <c r="B322">
        <f t="shared" si="28"/>
        <v>313</v>
      </c>
      <c r="C322">
        <f t="shared" si="29"/>
        <v>296.7731427470664</v>
      </c>
      <c r="D322">
        <f t="shared" si="24"/>
        <v>5.7915855039288137E-2</v>
      </c>
      <c r="E322">
        <f t="shared" si="25"/>
        <v>296.83105860210571</v>
      </c>
      <c r="F322">
        <f t="shared" si="26"/>
        <v>5.6880548670282763E-2</v>
      </c>
      <c r="G322">
        <f t="shared" si="27"/>
        <v>296.83054094892117</v>
      </c>
      <c r="H322">
        <f>G322 - Euler!E322</f>
        <v>-4.2678579727635224E-2</v>
      </c>
    </row>
    <row r="323" spans="1:8" x14ac:dyDescent="0.35">
      <c r="A323">
        <v>314</v>
      </c>
      <c r="B323">
        <f t="shared" si="28"/>
        <v>314</v>
      </c>
      <c r="C323">
        <f t="shared" si="29"/>
        <v>296.83054094892117</v>
      </c>
      <c r="D323">
        <f t="shared" si="24"/>
        <v>5.6889802939661865E-2</v>
      </c>
      <c r="E323">
        <f t="shared" si="25"/>
        <v>296.88743075186085</v>
      </c>
      <c r="F323">
        <f t="shared" si="26"/>
        <v>5.5872690575449586E-2</v>
      </c>
      <c r="G323">
        <f t="shared" si="27"/>
        <v>296.88692219567872</v>
      </c>
      <c r="H323">
        <f>G323 - Euler!E323</f>
        <v>-4.2424114746950181E-2</v>
      </c>
    </row>
    <row r="324" spans="1:8" x14ac:dyDescent="0.35">
      <c r="A324">
        <v>315</v>
      </c>
      <c r="B324">
        <f t="shared" si="28"/>
        <v>315</v>
      </c>
      <c r="C324">
        <f t="shared" si="29"/>
        <v>296.88692219567872</v>
      </c>
      <c r="D324">
        <f t="shared" si="24"/>
        <v>5.5881783523292865E-2</v>
      </c>
      <c r="E324">
        <f t="shared" si="25"/>
        <v>296.94280397920204</v>
      </c>
      <c r="F324">
        <f t="shared" si="26"/>
        <v>5.4882550652024041E-2</v>
      </c>
      <c r="G324">
        <f t="shared" si="27"/>
        <v>296.94230436276638</v>
      </c>
      <c r="H324">
        <f>G324 - Euler!E324</f>
        <v>-4.2165150491484837E-2</v>
      </c>
    </row>
    <row r="325" spans="1:8" x14ac:dyDescent="0.35">
      <c r="A325">
        <v>316</v>
      </c>
      <c r="B325">
        <f t="shared" si="28"/>
        <v>316</v>
      </c>
      <c r="C325">
        <f t="shared" si="29"/>
        <v>296.94230436276638</v>
      </c>
      <c r="D325">
        <f t="shared" si="24"/>
        <v>5.4891485020558593E-2</v>
      </c>
      <c r="E325">
        <f t="shared" si="25"/>
        <v>296.99719584778694</v>
      </c>
      <c r="F325">
        <f t="shared" si="26"/>
        <v>5.390982238084166E-2</v>
      </c>
      <c r="G325">
        <f t="shared" si="27"/>
        <v>296.9967050164671</v>
      </c>
      <c r="H325">
        <f>G325 - Euler!E325</f>
        <v>-4.1901925313425181E-2</v>
      </c>
    </row>
    <row r="326" spans="1:8" x14ac:dyDescent="0.35">
      <c r="A326">
        <v>317</v>
      </c>
      <c r="B326">
        <f t="shared" si="28"/>
        <v>317</v>
      </c>
      <c r="C326">
        <f t="shared" si="29"/>
        <v>296.9967050164671</v>
      </c>
      <c r="D326">
        <f t="shared" si="24"/>
        <v>5.3918600868175279E-2</v>
      </c>
      <c r="E326">
        <f t="shared" si="25"/>
        <v>297.0506236173353</v>
      </c>
      <c r="F326">
        <f t="shared" si="26"/>
        <v>5.2954204368153381E-2</v>
      </c>
      <c r="G326">
        <f t="shared" si="27"/>
        <v>297.05014141908526</v>
      </c>
      <c r="H326">
        <f>G326 - Euler!E326</f>
        <v>-4.1634670680082309E-2</v>
      </c>
    </row>
    <row r="327" spans="1:8" x14ac:dyDescent="0.35">
      <c r="A327">
        <v>318</v>
      </c>
      <c r="B327">
        <f t="shared" si="28"/>
        <v>318</v>
      </c>
      <c r="C327">
        <f t="shared" si="29"/>
        <v>297.05014141908526</v>
      </c>
      <c r="D327">
        <f t="shared" si="24"/>
        <v>5.2962829628913542E-2</v>
      </c>
      <c r="E327">
        <f t="shared" si="25"/>
        <v>297.1031042487142</v>
      </c>
      <c r="F327">
        <f t="shared" si="26"/>
        <v>5.201540026635311E-2</v>
      </c>
      <c r="G327">
        <f t="shared" si="27"/>
        <v>297.10263053403293</v>
      </c>
      <c r="H327">
        <f>G327 - Euler!E327</f>
        <v>-4.1363611334702455E-2</v>
      </c>
    </row>
    <row r="328" spans="1:8" x14ac:dyDescent="0.35">
      <c r="A328">
        <v>319</v>
      </c>
      <c r="B328">
        <f t="shared" si="28"/>
        <v>319</v>
      </c>
      <c r="C328">
        <f t="shared" si="29"/>
        <v>297.10263053403293</v>
      </c>
      <c r="D328">
        <f t="shared" si="24"/>
        <v>5.2023874912273803E-2</v>
      </c>
      <c r="E328">
        <f t="shared" si="25"/>
        <v>297.15465440894519</v>
      </c>
      <c r="F328">
        <f t="shared" si="26"/>
        <v>5.1093118695641433E-2</v>
      </c>
      <c r="G328">
        <f t="shared" si="27"/>
        <v>297.1541890308369</v>
      </c>
      <c r="H328">
        <f>G328 - Euler!E328</f>
        <v>-4.1088965454605386E-2</v>
      </c>
    </row>
    <row r="329" spans="1:8" x14ac:dyDescent="0.35">
      <c r="A329">
        <v>320</v>
      </c>
      <c r="B329">
        <f t="shared" si="28"/>
        <v>320</v>
      </c>
      <c r="C329">
        <f t="shared" si="29"/>
        <v>297.1541890308369</v>
      </c>
      <c r="D329">
        <f t="shared" ref="D329:D392" si="30">$B$2 * POWER(C329,3/4) * (1 - POWER(C329/$B$4,1/4))</f>
        <v>5.1101445296190741E-2</v>
      </c>
      <c r="E329">
        <f t="shared" ref="E329:E392" si="31">C329 + $B$3 * D329</f>
        <v>297.20529047613309</v>
      </c>
      <c r="F329">
        <f t="shared" ref="F329:F392" si="32">$B$2 * POWER(E329,3/4) * (1 - POWER(E329/$B$4,1/4))</f>
        <v>5.0187073166720712E-2</v>
      </c>
      <c r="G329">
        <f t="shared" ref="G329:G392" si="33">C329 + ($B$3/2) * (D329 + F329)</f>
        <v>297.20483329006834</v>
      </c>
      <c r="H329">
        <f>G329 - Euler!E329</f>
        <v>-4.0810944805912186E-2</v>
      </c>
    </row>
    <row r="330" spans="1:8" x14ac:dyDescent="0.35">
      <c r="A330">
        <v>321</v>
      </c>
      <c r="B330">
        <f t="shared" ref="B330:B393" si="34">B329 + $B$3</f>
        <v>321</v>
      </c>
      <c r="C330">
        <f t="shared" ref="C330:C393" si="35">G329</f>
        <v>297.20483329006834</v>
      </c>
      <c r="D330">
        <f t="shared" si="30"/>
        <v>5.019525424969732E-2</v>
      </c>
      <c r="E330">
        <f t="shared" si="31"/>
        <v>297.25502854431801</v>
      </c>
      <c r="F330">
        <f t="shared" si="32"/>
        <v>4.9296982004447723E-2</v>
      </c>
      <c r="G330">
        <f t="shared" si="33"/>
        <v>297.25457940819541</v>
      </c>
      <c r="H330">
        <f>G330 - Euler!E330</f>
        <v>-4.0529754895032966E-2</v>
      </c>
    </row>
    <row r="331" spans="1:8" x14ac:dyDescent="0.35">
      <c r="A331">
        <v>322</v>
      </c>
      <c r="B331">
        <f t="shared" si="34"/>
        <v>322</v>
      </c>
      <c r="C331">
        <f t="shared" si="35"/>
        <v>297.25457940819541</v>
      </c>
      <c r="D331">
        <f t="shared" si="30"/>
        <v>4.9305020056579427E-2</v>
      </c>
      <c r="E331">
        <f t="shared" si="31"/>
        <v>297.30388442825199</v>
      </c>
      <c r="F331">
        <f t="shared" si="32"/>
        <v>4.8422568272469747E-2</v>
      </c>
      <c r="G331">
        <f t="shared" si="33"/>
        <v>297.30344320235992</v>
      </c>
      <c r="H331">
        <f>G331 - Euler!E331</f>
        <v>-4.0245595117596622E-2</v>
      </c>
    </row>
    <row r="332" spans="1:8" x14ac:dyDescent="0.35">
      <c r="A332">
        <v>323</v>
      </c>
      <c r="B332">
        <f t="shared" si="34"/>
        <v>323</v>
      </c>
      <c r="C332">
        <f t="shared" si="35"/>
        <v>297.30344320235992</v>
      </c>
      <c r="D332">
        <f t="shared" si="30"/>
        <v>4.8430465739999567E-2</v>
      </c>
      <c r="E332">
        <f t="shared" si="31"/>
        <v>297.35187366809993</v>
      </c>
      <c r="F332">
        <f t="shared" si="32"/>
        <v>4.7563559698840331E-2</v>
      </c>
      <c r="G332">
        <f t="shared" si="33"/>
        <v>297.35144021507932</v>
      </c>
      <c r="H332">
        <f>G332 - Euler!E332</f>
        <v>-3.995865890379946E-2</v>
      </c>
    </row>
    <row r="333" spans="1:8" x14ac:dyDescent="0.35">
      <c r="A333">
        <v>324</v>
      </c>
      <c r="B333">
        <f t="shared" si="34"/>
        <v>324</v>
      </c>
      <c r="C333">
        <f t="shared" si="35"/>
        <v>297.35144021507932</v>
      </c>
      <c r="D333">
        <f t="shared" si="30"/>
        <v>4.757131898811881E-2</v>
      </c>
      <c r="E333">
        <f t="shared" si="31"/>
        <v>297.39901153406743</v>
      </c>
      <c r="F333">
        <f t="shared" si="32"/>
        <v>4.6719688602597891E-2</v>
      </c>
      <c r="G333">
        <f t="shared" si="33"/>
        <v>297.3985857188747</v>
      </c>
      <c r="H333">
        <f>G333 - Euler!E333</f>
        <v>-3.966913386119586E-2</v>
      </c>
    </row>
    <row r="334" spans="1:8" x14ac:dyDescent="0.35">
      <c r="A334">
        <v>325</v>
      </c>
      <c r="B334">
        <f t="shared" si="34"/>
        <v>325</v>
      </c>
      <c r="C334">
        <f t="shared" si="35"/>
        <v>297.3985857188747</v>
      </c>
      <c r="D334">
        <f t="shared" si="30"/>
        <v>4.6727312080655323E-2</v>
      </c>
      <c r="E334">
        <f t="shared" si="31"/>
        <v>297.44531303095533</v>
      </c>
      <c r="F334">
        <f t="shared" si="32"/>
        <v>4.5890691821313313E-2</v>
      </c>
      <c r="G334">
        <f t="shared" si="33"/>
        <v>297.44489472082569</v>
      </c>
      <c r="H334">
        <f>G334 - Euler!E334</f>
        <v>-3.9377201914589932E-2</v>
      </c>
    </row>
    <row r="335" spans="1:8" x14ac:dyDescent="0.35">
      <c r="A335">
        <v>326</v>
      </c>
      <c r="B335">
        <f t="shared" si="34"/>
        <v>326</v>
      </c>
      <c r="C335">
        <f t="shared" si="35"/>
        <v>297.44489472082569</v>
      </c>
      <c r="D335">
        <f t="shared" si="30"/>
        <v>4.5898181816445283E-2</v>
      </c>
      <c r="E335">
        <f t="shared" si="31"/>
        <v>297.49079290264211</v>
      </c>
      <c r="F335">
        <f t="shared" si="32"/>
        <v>4.5076310639600103E-2</v>
      </c>
      <c r="G335">
        <f t="shared" si="33"/>
        <v>297.49038196705374</v>
      </c>
      <c r="H335">
        <f>G335 - Euler!E335</f>
        <v>-3.9083039442687095E-2</v>
      </c>
    </row>
    <row r="336" spans="1:8" x14ac:dyDescent="0.35">
      <c r="A336">
        <v>327</v>
      </c>
      <c r="B336">
        <f t="shared" si="34"/>
        <v>327</v>
      </c>
      <c r="C336">
        <f t="shared" si="35"/>
        <v>297.49038196705374</v>
      </c>
      <c r="D336">
        <f t="shared" si="30"/>
        <v>4.5083669441929791E-2</v>
      </c>
      <c r="E336">
        <f t="shared" si="31"/>
        <v>297.53546563649564</v>
      </c>
      <c r="F336">
        <f t="shared" si="32"/>
        <v>4.4276290718582065E-2</v>
      </c>
      <c r="G336">
        <f t="shared" si="33"/>
        <v>297.53506194713401</v>
      </c>
      <c r="H336">
        <f>G336 - Euler!E336</f>
        <v>-3.8786817412471919E-2</v>
      </c>
    </row>
    <row r="337" spans="1:8" x14ac:dyDescent="0.35">
      <c r="A337">
        <v>328</v>
      </c>
      <c r="B337">
        <f t="shared" si="34"/>
        <v>328</v>
      </c>
      <c r="C337">
        <f t="shared" si="35"/>
        <v>297.53506194713401</v>
      </c>
      <c r="D337">
        <f t="shared" si="30"/>
        <v>4.4283520580616603E-2</v>
      </c>
      <c r="E337">
        <f t="shared" si="31"/>
        <v>297.57934546771463</v>
      </c>
      <c r="F337">
        <f t="shared" si="32"/>
        <v>4.3490382026286238E-2</v>
      </c>
      <c r="G337">
        <f t="shared" si="33"/>
        <v>297.57894889843749</v>
      </c>
      <c r="H337">
        <f>G337 - Euler!E337</f>
        <v>-3.8488701510345891E-2</v>
      </c>
    </row>
    <row r="338" spans="1:8" x14ac:dyDescent="0.35">
      <c r="A338">
        <v>329</v>
      </c>
      <c r="B338">
        <f t="shared" si="34"/>
        <v>329</v>
      </c>
      <c r="C338">
        <f t="shared" si="35"/>
        <v>297.57894889843749</v>
      </c>
      <c r="D338">
        <f t="shared" si="30"/>
        <v>4.3497485163489828E-2</v>
      </c>
      <c r="E338">
        <f t="shared" si="31"/>
        <v>297.62244638360096</v>
      </c>
      <c r="F338">
        <f t="shared" si="32"/>
        <v>4.2718338769021293E-2</v>
      </c>
      <c r="G338">
        <f t="shared" si="33"/>
        <v>297.62205681040376</v>
      </c>
      <c r="H338">
        <f>G338 - Euler!E338</f>
        <v>-3.8188852270820917E-2</v>
      </c>
    </row>
    <row r="339" spans="1:8" x14ac:dyDescent="0.35">
      <c r="A339">
        <v>330</v>
      </c>
      <c r="B339">
        <f t="shared" si="34"/>
        <v>330</v>
      </c>
      <c r="C339">
        <f t="shared" si="35"/>
        <v>297.62205681040376</v>
      </c>
      <c r="D339">
        <f t="shared" si="30"/>
        <v>4.2725317360346203E-2</v>
      </c>
      <c r="E339">
        <f t="shared" si="31"/>
        <v>297.66478212776411</v>
      </c>
      <c r="F339">
        <f t="shared" si="32"/>
        <v>4.1959919323643326E-2</v>
      </c>
      <c r="G339">
        <f t="shared" si="33"/>
        <v>297.66439942874575</v>
      </c>
      <c r="H339">
        <f>G339 - Euler!E339</f>
        <v>-3.7887425202484337E-2</v>
      </c>
    </row>
    <row r="340" spans="1:8" x14ac:dyDescent="0.35">
      <c r="A340">
        <v>331</v>
      </c>
      <c r="B340">
        <f t="shared" si="34"/>
        <v>331</v>
      </c>
      <c r="C340">
        <f t="shared" si="35"/>
        <v>297.66439942874575</v>
      </c>
      <c r="D340">
        <f t="shared" si="30"/>
        <v>4.1966775512089459E-2</v>
      </c>
      <c r="E340">
        <f t="shared" si="31"/>
        <v>297.70636620425785</v>
      </c>
      <c r="F340">
        <f t="shared" si="32"/>
        <v>4.1214886170796342E-2</v>
      </c>
      <c r="G340">
        <f t="shared" si="33"/>
        <v>297.70599025958717</v>
      </c>
      <c r="H340">
        <f>G340 - Euler!E340</f>
        <v>-3.7584570911292303E-2</v>
      </c>
    </row>
    <row r="341" spans="1:8" x14ac:dyDescent="0.35">
      <c r="A341">
        <v>332</v>
      </c>
      <c r="B341">
        <f t="shared" si="34"/>
        <v>332</v>
      </c>
      <c r="C341">
        <f t="shared" si="35"/>
        <v>297.70599025958717</v>
      </c>
      <c r="D341">
        <f t="shared" si="30"/>
        <v>4.1221622063944759E-2</v>
      </c>
      <c r="E341">
        <f t="shared" si="31"/>
        <v>297.74721188165114</v>
      </c>
      <c r="F341">
        <f t="shared" si="32"/>
        <v>4.048300582903467E-2</v>
      </c>
      <c r="G341">
        <f t="shared" si="33"/>
        <v>297.74684257353368</v>
      </c>
      <c r="H341">
        <f>G341 - Euler!E341</f>
        <v>-3.728043522119151E-2</v>
      </c>
    </row>
    <row r="342" spans="1:8" x14ac:dyDescent="0.35">
      <c r="A342">
        <v>333</v>
      </c>
      <c r="B342">
        <f t="shared" si="34"/>
        <v>333</v>
      </c>
      <c r="C342">
        <f t="shared" si="35"/>
        <v>297.74684257353368</v>
      </c>
      <c r="D342">
        <f t="shared" si="30"/>
        <v>4.0489623499580879E-2</v>
      </c>
      <c r="E342">
        <f t="shared" si="31"/>
        <v>297.78733219703327</v>
      </c>
      <c r="F342">
        <f t="shared" si="32"/>
        <v>3.9764048789899642E-2</v>
      </c>
      <c r="G342">
        <f t="shared" si="33"/>
        <v>297.78696940967842</v>
      </c>
      <c r="H342">
        <f>G342 - Euler!E342</f>
        <v>-3.6975159292637727E-2</v>
      </c>
    </row>
    <row r="343" spans="1:8" x14ac:dyDescent="0.35">
      <c r="A343">
        <v>334</v>
      </c>
      <c r="B343">
        <f t="shared" si="34"/>
        <v>334</v>
      </c>
      <c r="C343">
        <f t="shared" si="35"/>
        <v>297.78696940967842</v>
      </c>
      <c r="D343">
        <f t="shared" si="30"/>
        <v>3.9770550276177062E-2</v>
      </c>
      <c r="E343">
        <f t="shared" si="31"/>
        <v>297.82673995995458</v>
      </c>
      <c r="F343">
        <f t="shared" si="32"/>
        <v>3.9057789453874892E-2</v>
      </c>
      <c r="G343">
        <f t="shared" si="33"/>
        <v>297.82638357954346</v>
      </c>
      <c r="H343">
        <f>G343 - Euler!E343</f>
        <v>-3.6668879737817406E-2</v>
      </c>
    </row>
    <row r="344" spans="1:8" x14ac:dyDescent="0.35">
      <c r="A344">
        <v>335</v>
      </c>
      <c r="B344">
        <f t="shared" si="34"/>
        <v>335</v>
      </c>
      <c r="C344">
        <f t="shared" si="35"/>
        <v>297.82638357954346</v>
      </c>
      <c r="D344">
        <f t="shared" si="30"/>
        <v>3.906417676038048E-2</v>
      </c>
      <c r="E344">
        <f t="shared" si="31"/>
        <v>297.86544775630387</v>
      </c>
      <c r="F344">
        <f t="shared" si="32"/>
        <v>3.8364006067250669E-2</v>
      </c>
      <c r="G344">
        <f t="shared" si="33"/>
        <v>297.86509767095725</v>
      </c>
      <c r="H344">
        <f>G344 - Euler!E344</f>
        <v>-3.6361728734277676E-2</v>
      </c>
    </row>
    <row r="345" spans="1:8" x14ac:dyDescent="0.35">
      <c r="A345">
        <v>336</v>
      </c>
      <c r="B345">
        <f t="shared" si="34"/>
        <v>336</v>
      </c>
      <c r="C345">
        <f t="shared" si="35"/>
        <v>297.86509767095725</v>
      </c>
      <c r="D345">
        <f t="shared" si="30"/>
        <v>3.8370281165157734E-2</v>
      </c>
      <c r="E345">
        <f t="shared" si="31"/>
        <v>297.90346795212241</v>
      </c>
      <c r="F345">
        <f t="shared" si="32"/>
        <v>3.7682480659899847E-2</v>
      </c>
      <c r="G345">
        <f t="shared" si="33"/>
        <v>297.90312405186978</v>
      </c>
      <c r="H345">
        <f>G345 - Euler!E345</f>
        <v>-3.6053834135543639E-2</v>
      </c>
    </row>
    <row r="346" spans="1:8" x14ac:dyDescent="0.35">
      <c r="A346">
        <v>337</v>
      </c>
      <c r="B346">
        <f t="shared" si="34"/>
        <v>337</v>
      </c>
      <c r="C346">
        <f t="shared" si="35"/>
        <v>297.90312405186978</v>
      </c>
      <c r="D346">
        <f t="shared" si="30"/>
        <v>3.7688645487565536E-2</v>
      </c>
      <c r="E346">
        <f t="shared" si="31"/>
        <v>297.94081269735733</v>
      </c>
      <c r="F346">
        <f t="shared" si="32"/>
        <v>3.7012998983902985E-2</v>
      </c>
      <c r="G346">
        <f t="shared" si="33"/>
        <v>297.94047487410552</v>
      </c>
      <c r="H346">
        <f>G346 - Euler!E346</f>
        <v>-3.5745319579632451E-2</v>
      </c>
    </row>
    <row r="347" spans="1:8" x14ac:dyDescent="0.35">
      <c r="A347">
        <v>338</v>
      </c>
      <c r="B347">
        <f t="shared" si="34"/>
        <v>338</v>
      </c>
      <c r="C347">
        <f t="shared" si="35"/>
        <v>297.94047487410552</v>
      </c>
      <c r="D347">
        <f t="shared" si="30"/>
        <v>3.7019055447372433E-2</v>
      </c>
      <c r="E347">
        <f t="shared" si="31"/>
        <v>297.97749392955291</v>
      </c>
      <c r="F347">
        <f t="shared" si="32"/>
        <v>3.63553504530938E-2</v>
      </c>
      <c r="G347">
        <f t="shared" si="33"/>
        <v>297.97716207705577</v>
      </c>
      <c r="H347">
        <f>G347 - Euler!E347</f>
        <v>-3.543630459517999E-2</v>
      </c>
    </row>
    <row r="348" spans="1:8" x14ac:dyDescent="0.35">
      <c r="A348">
        <v>339</v>
      </c>
      <c r="B348">
        <f t="shared" si="34"/>
        <v>339</v>
      </c>
      <c r="C348">
        <f t="shared" si="35"/>
        <v>297.97716207705577</v>
      </c>
      <c r="D348">
        <f t="shared" si="30"/>
        <v>3.6361300426596216E-2</v>
      </c>
      <c r="E348">
        <f t="shared" si="31"/>
        <v>298.01352337748239</v>
      </c>
      <c r="F348">
        <f t="shared" si="32"/>
        <v>3.5709328083435264E-2</v>
      </c>
      <c r="G348">
        <f t="shared" si="33"/>
        <v>298.01319739131077</v>
      </c>
      <c r="H348">
        <f>G348 - Euler!E348</f>
        <v>-3.5126904705350626E-2</v>
      </c>
    </row>
    <row r="349" spans="1:8" x14ac:dyDescent="0.35">
      <c r="A349">
        <v>340</v>
      </c>
      <c r="B349">
        <f t="shared" si="34"/>
        <v>340</v>
      </c>
      <c r="C349">
        <f t="shared" si="35"/>
        <v>298.01319739131077</v>
      </c>
      <c r="D349">
        <f t="shared" si="30"/>
        <v>3.5715173409873992E-2</v>
      </c>
      <c r="E349">
        <f t="shared" si="31"/>
        <v>298.04891256472064</v>
      </c>
      <c r="F349">
        <f t="shared" si="32"/>
        <v>3.5074728434288695E-2</v>
      </c>
      <c r="G349">
        <f t="shared" si="33"/>
        <v>298.04859234223284</v>
      </c>
      <c r="H349">
        <f>G349 - Euler!E349</f>
        <v>-3.4817231529302717E-2</v>
      </c>
    </row>
    <row r="350" spans="1:8" x14ac:dyDescent="0.35">
      <c r="A350">
        <v>341</v>
      </c>
      <c r="B350">
        <f t="shared" si="34"/>
        <v>341</v>
      </c>
      <c r="C350">
        <f t="shared" si="35"/>
        <v>298.04859234223284</v>
      </c>
      <c r="D350">
        <f t="shared" si="30"/>
        <v>3.508047092572053E-2</v>
      </c>
      <c r="E350">
        <f t="shared" si="31"/>
        <v>298.08367281315856</v>
      </c>
      <c r="F350">
        <f t="shared" si="32"/>
        <v>3.4451351550507048E-2</v>
      </c>
      <c r="G350">
        <f t="shared" si="33"/>
        <v>298.08335825347098</v>
      </c>
      <c r="H350">
        <f>G350 - Euler!E350</f>
        <v>-3.45073928816646E-2</v>
      </c>
    </row>
    <row r="351" spans="1:8" x14ac:dyDescent="0.35">
      <c r="A351">
        <v>342</v>
      </c>
      <c r="B351">
        <f t="shared" si="34"/>
        <v>342</v>
      </c>
      <c r="C351">
        <f t="shared" si="35"/>
        <v>298.08335825347098</v>
      </c>
      <c r="D351">
        <f t="shared" si="30"/>
        <v>3.4456992988629677E-2</v>
      </c>
      <c r="E351">
        <f t="shared" si="31"/>
        <v>298.1178152464596</v>
      </c>
      <c r="F351">
        <f t="shared" si="32"/>
        <v>3.3839000905399041E-2</v>
      </c>
      <c r="G351">
        <f t="shared" si="33"/>
        <v>298.11750625041799</v>
      </c>
      <c r="H351">
        <f>G351 - Euler!E351</f>
        <v>-3.4197492869850521E-2</v>
      </c>
    </row>
    <row r="352" spans="1:8" x14ac:dyDescent="0.35">
      <c r="A352">
        <v>343</v>
      </c>
      <c r="B352">
        <f t="shared" si="34"/>
        <v>343</v>
      </c>
      <c r="C352">
        <f t="shared" si="35"/>
        <v>298.11750625041799</v>
      </c>
      <c r="D352">
        <f t="shared" si="30"/>
        <v>3.3844543042017977E-2</v>
      </c>
      <c r="E352">
        <f t="shared" si="31"/>
        <v>298.15135079345998</v>
      </c>
      <c r="F352">
        <f t="shared" si="32"/>
        <v>3.3237483344516386E-2</v>
      </c>
      <c r="G352">
        <f t="shared" si="33"/>
        <v>298.15104726361125</v>
      </c>
      <c r="H352">
        <f>G352 - Euler!E352</f>
        <v>-3.3887631988989142E-2</v>
      </c>
    </row>
    <row r="353" spans="1:8" x14ac:dyDescent="0.35">
      <c r="A353">
        <v>344</v>
      </c>
      <c r="B353">
        <f t="shared" si="34"/>
        <v>344</v>
      </c>
      <c r="C353">
        <f t="shared" si="35"/>
        <v>298.15104726361125</v>
      </c>
      <c r="D353">
        <f t="shared" si="30"/>
        <v>3.3242927902010208E-2</v>
      </c>
      <c r="E353">
        <f t="shared" si="31"/>
        <v>298.18429019151324</v>
      </c>
      <c r="F353">
        <f t="shared" si="32"/>
        <v>3.264660903026137E-2</v>
      </c>
      <c r="G353">
        <f t="shared" si="33"/>
        <v>298.18399203207736</v>
      </c>
      <c r="H353">
        <f>G353 - Euler!E353</f>
        <v>-3.3577907215089908E-2</v>
      </c>
    </row>
    <row r="354" spans="1:8" x14ac:dyDescent="0.35">
      <c r="A354">
        <v>345</v>
      </c>
      <c r="B354">
        <f t="shared" si="34"/>
        <v>345</v>
      </c>
      <c r="C354">
        <f t="shared" si="35"/>
        <v>298.18399203207736</v>
      </c>
      <c r="D354">
        <f t="shared" si="30"/>
        <v>3.2651957702047658E-2</v>
      </c>
      <c r="E354">
        <f t="shared" si="31"/>
        <v>298.21664398977941</v>
      </c>
      <c r="F354">
        <f t="shared" si="32"/>
        <v>3.2066191387340584E-2</v>
      </c>
      <c r="G354">
        <f t="shared" si="33"/>
        <v>298.21635110662203</v>
      </c>
      <c r="H354">
        <f>G354 - Euler!E354</f>
        <v>-3.3268412095935673E-2</v>
      </c>
    </row>
    <row r="355" spans="1:8" x14ac:dyDescent="0.35">
      <c r="A355">
        <v>346</v>
      </c>
      <c r="B355">
        <f t="shared" si="34"/>
        <v>346</v>
      </c>
      <c r="C355">
        <f t="shared" si="35"/>
        <v>298.21635110662203</v>
      </c>
      <c r="D355">
        <f t="shared" si="30"/>
        <v>3.2071445838320924E-2</v>
      </c>
      <c r="E355">
        <f t="shared" si="31"/>
        <v>298.24842255246034</v>
      </c>
      <c r="F355">
        <f t="shared" si="32"/>
        <v>3.1496047048989659E-2</v>
      </c>
      <c r="G355">
        <f t="shared" si="33"/>
        <v>298.24813485306566</v>
      </c>
      <c r="H355">
        <f>G355 - Euler!E355</f>
        <v>-3.2959236840156336E-2</v>
      </c>
    </row>
    <row r="356" spans="1:8" x14ac:dyDescent="0.35">
      <c r="A356">
        <v>347</v>
      </c>
      <c r="B356">
        <f t="shared" si="34"/>
        <v>347</v>
      </c>
      <c r="C356">
        <f t="shared" si="35"/>
        <v>298.24813485306566</v>
      </c>
      <c r="D356">
        <f t="shared" si="30"/>
        <v>3.1501208916006919E-2</v>
      </c>
      <c r="E356">
        <f t="shared" si="31"/>
        <v>298.27963606198165</v>
      </c>
      <c r="F356">
        <f t="shared" si="32"/>
        <v>3.0935995804038347E-2</v>
      </c>
      <c r="G356">
        <f t="shared" si="33"/>
        <v>298.27935345542568</v>
      </c>
      <c r="H356">
        <f>G356 - Euler!E356</f>
        <v>-3.265046840414243E-2</v>
      </c>
    </row>
    <row r="357" spans="1:8" x14ac:dyDescent="0.35">
      <c r="A357">
        <v>348</v>
      </c>
      <c r="B357">
        <f t="shared" si="34"/>
        <v>348</v>
      </c>
      <c r="C357">
        <f t="shared" si="35"/>
        <v>298.27935345542568</v>
      </c>
      <c r="D357">
        <f t="shared" si="30"/>
        <v>3.0941066696315599E-2</v>
      </c>
      <c r="E357">
        <f t="shared" si="31"/>
        <v>298.31029452212198</v>
      </c>
      <c r="F357">
        <f t="shared" si="32"/>
        <v>3.0385860544739324E-2</v>
      </c>
      <c r="G357">
        <f t="shared" si="33"/>
        <v>298.31001691904623</v>
      </c>
      <c r="H357">
        <f>G357 - Euler!E357</f>
        <v>-3.2342190577139718E-2</v>
      </c>
    </row>
    <row r="358" spans="1:8" x14ac:dyDescent="0.35">
      <c r="A358">
        <v>349</v>
      </c>
      <c r="B358">
        <f t="shared" si="34"/>
        <v>349</v>
      </c>
      <c r="C358">
        <f t="shared" si="35"/>
        <v>298.31001691904623</v>
      </c>
      <c r="D358">
        <f t="shared" si="30"/>
        <v>3.039084204431363E-2</v>
      </c>
      <c r="E358">
        <f t="shared" si="31"/>
        <v>298.34040776109055</v>
      </c>
      <c r="F358">
        <f t="shared" si="32"/>
        <v>2.984546721540126E-2</v>
      </c>
      <c r="G358">
        <f t="shared" si="33"/>
        <v>298.34013507367609</v>
      </c>
      <c r="H358">
        <f>G358 - Euler!E358</f>
        <v>-3.2034484064524804E-2</v>
      </c>
    </row>
    <row r="359" spans="1:8" x14ac:dyDescent="0.35">
      <c r="A359">
        <v>350</v>
      </c>
      <c r="B359">
        <f t="shared" si="34"/>
        <v>350</v>
      </c>
      <c r="C359">
        <f t="shared" si="35"/>
        <v>298.34013507367609</v>
      </c>
      <c r="D359">
        <f t="shared" si="30"/>
        <v>2.9850360877565488E-2</v>
      </c>
      <c r="E359">
        <f t="shared" si="31"/>
        <v>298.36998543455366</v>
      </c>
      <c r="F359">
        <f t="shared" si="32"/>
        <v>2.9314644761787786E-2</v>
      </c>
      <c r="G359">
        <f t="shared" si="33"/>
        <v>298.36971757649576</v>
      </c>
      <c r="H359">
        <f>G359 - Euler!E359</f>
        <v>-3.1727426568977535E-2</v>
      </c>
    </row>
    <row r="360" spans="1:8" x14ac:dyDescent="0.35">
      <c r="A360">
        <v>351</v>
      </c>
      <c r="B360">
        <f t="shared" si="34"/>
        <v>351</v>
      </c>
      <c r="C360">
        <f t="shared" si="35"/>
        <v>298.36971757649576</v>
      </c>
      <c r="D360">
        <f t="shared" si="30"/>
        <v>2.9319452115500889E-2</v>
      </c>
      <c r="E360">
        <f t="shared" si="31"/>
        <v>298.39903702861125</v>
      </c>
      <c r="F360">
        <f t="shared" si="32"/>
        <v>2.8793225081279454E-2</v>
      </c>
      <c r="G360">
        <f t="shared" si="33"/>
        <v>298.39877391509413</v>
      </c>
      <c r="H360">
        <f>G360 - Euler!E360</f>
        <v>-3.1421092869948097E-2</v>
      </c>
    </row>
    <row r="361" spans="1:8" x14ac:dyDescent="0.35">
      <c r="A361">
        <v>352</v>
      </c>
      <c r="B361">
        <f t="shared" si="34"/>
        <v>352</v>
      </c>
      <c r="C361">
        <f t="shared" si="35"/>
        <v>298.39877391509413</v>
      </c>
      <c r="D361">
        <f t="shared" si="30"/>
        <v>2.8797947629593864E-2</v>
      </c>
      <c r="E361">
        <f t="shared" si="31"/>
        <v>298.42757186272371</v>
      </c>
      <c r="F361">
        <f t="shared" si="32"/>
        <v>2.8281042973797101E-2</v>
      </c>
      <c r="G361">
        <f t="shared" si="33"/>
        <v>298.42731341039581</v>
      </c>
      <c r="H361">
        <f>G361 - Euler!E361</f>
        <v>-3.1115554901532505E-2</v>
      </c>
    </row>
    <row r="362" spans="1:8" x14ac:dyDescent="0.35">
      <c r="A362">
        <v>353</v>
      </c>
      <c r="B362">
        <f t="shared" si="34"/>
        <v>353</v>
      </c>
      <c r="C362">
        <f t="shared" si="35"/>
        <v>298.42731341039581</v>
      </c>
      <c r="D362">
        <f t="shared" si="30"/>
        <v>2.8285682194271331E-2</v>
      </c>
      <c r="E362">
        <f t="shared" si="31"/>
        <v>298.45559909259009</v>
      </c>
      <c r="F362">
        <f t="shared" si="32"/>
        <v>2.7777936093480983E-2</v>
      </c>
      <c r="G362">
        <f t="shared" si="33"/>
        <v>298.45534521953971</v>
      </c>
      <c r="H362">
        <f>G362 - Euler!E362</f>
        <v>-3.0810881828244874E-2</v>
      </c>
    </row>
    <row r="363" spans="1:8" x14ac:dyDescent="0.35">
      <c r="A363">
        <v>354</v>
      </c>
      <c r="B363">
        <f t="shared" si="34"/>
        <v>354</v>
      </c>
      <c r="C363">
        <f t="shared" si="35"/>
        <v>298.45534521953971</v>
      </c>
      <c r="D363">
        <f t="shared" si="30"/>
        <v>2.7782493438590093E-2</v>
      </c>
      <c r="E363">
        <f t="shared" si="31"/>
        <v>298.48312771297827</v>
      </c>
      <c r="F363">
        <f t="shared" si="32"/>
        <v>2.7283744901097102E-2</v>
      </c>
      <c r="G363">
        <f t="shared" si="33"/>
        <v>298.48287833870955</v>
      </c>
      <c r="H363">
        <f>G363 - Euler!E363</f>
        <v>-3.0507140119368614E-2</v>
      </c>
    </row>
    <row r="364" spans="1:8" x14ac:dyDescent="0.35">
      <c r="A364">
        <v>355</v>
      </c>
      <c r="B364">
        <f t="shared" si="34"/>
        <v>355</v>
      </c>
      <c r="C364">
        <f t="shared" si="35"/>
        <v>298.48287833870955</v>
      </c>
      <c r="D364">
        <f t="shared" si="30"/>
        <v>2.7288221798630722E-2</v>
      </c>
      <c r="E364">
        <f t="shared" si="31"/>
        <v>298.5101665605082</v>
      </c>
      <c r="F364">
        <f t="shared" si="32"/>
        <v>2.6798312617184059E-2</v>
      </c>
      <c r="G364">
        <f t="shared" si="33"/>
        <v>298.50992160591744</v>
      </c>
      <c r="H364">
        <f>G364 - Euler!E364</f>
        <v>-3.0204393621431791E-2</v>
      </c>
    </row>
    <row r="365" spans="1:8" x14ac:dyDescent="0.35">
      <c r="A365">
        <v>356</v>
      </c>
      <c r="B365">
        <f t="shared" si="34"/>
        <v>356</v>
      </c>
      <c r="C365">
        <f t="shared" si="35"/>
        <v>298.50992160591744</v>
      </c>
      <c r="D365">
        <f t="shared" si="30"/>
        <v>2.6802710470644066E-2</v>
      </c>
      <c r="E365">
        <f t="shared" si="31"/>
        <v>298.53672431638807</v>
      </c>
      <c r="F365">
        <f t="shared" si="32"/>
        <v>2.6321485175919677E-2</v>
      </c>
      <c r="G365">
        <f t="shared" si="33"/>
        <v>298.53648370374071</v>
      </c>
      <c r="H365">
        <f>G365 - Euler!E365</f>
        <v>-2.9902703629090865E-2</v>
      </c>
    </row>
    <row r="366" spans="1:8" x14ac:dyDescent="0.35">
      <c r="A366">
        <v>357</v>
      </c>
      <c r="B366">
        <f t="shared" si="34"/>
        <v>357</v>
      </c>
      <c r="C366">
        <f t="shared" si="35"/>
        <v>298.53648370374071</v>
      </c>
      <c r="D366">
        <f t="shared" si="30"/>
        <v>2.6325805364910422E-2</v>
      </c>
      <c r="E366">
        <f t="shared" si="31"/>
        <v>298.56280950910565</v>
      </c>
      <c r="F366">
        <f t="shared" si="32"/>
        <v>2.5853111179685171E-2</v>
      </c>
      <c r="G366">
        <f t="shared" si="33"/>
        <v>298.562573162013</v>
      </c>
      <c r="H366">
        <f>G366 - Euler!E366</f>
        <v>-2.9602128954479667E-2</v>
      </c>
    </row>
    <row r="367" spans="1:8" x14ac:dyDescent="0.35">
      <c r="A367">
        <v>358</v>
      </c>
      <c r="B367">
        <f t="shared" si="34"/>
        <v>358</v>
      </c>
      <c r="C367">
        <f t="shared" si="35"/>
        <v>298.562573162013</v>
      </c>
      <c r="D367">
        <f t="shared" si="30"/>
        <v>2.5857355060305592E-2</v>
      </c>
      <c r="E367">
        <f t="shared" si="31"/>
        <v>298.58843051707328</v>
      </c>
      <c r="F367">
        <f t="shared" si="32"/>
        <v>2.5393041854369941E-2</v>
      </c>
      <c r="G367">
        <f t="shared" si="33"/>
        <v>298.58819836047036</v>
      </c>
      <c r="H367">
        <f>G367 - Euler!E367</f>
        <v>-2.9302725994682532E-2</v>
      </c>
    </row>
    <row r="368" spans="1:8" x14ac:dyDescent="0.35">
      <c r="A368">
        <v>359</v>
      </c>
      <c r="B368">
        <f t="shared" si="34"/>
        <v>359</v>
      </c>
      <c r="C368">
        <f t="shared" si="35"/>
        <v>298.58819836047036</v>
      </c>
      <c r="D368">
        <f t="shared" si="30"/>
        <v>2.5397210759583729E-2</v>
      </c>
      <c r="E368">
        <f t="shared" si="31"/>
        <v>298.61359557122995</v>
      </c>
      <c r="F368">
        <f t="shared" si="32"/>
        <v>2.4941131005326973E-2</v>
      </c>
      <c r="G368">
        <f t="shared" si="33"/>
        <v>298.61336753135282</v>
      </c>
      <c r="H368">
        <f>G368 - Euler!E368</f>
        <v>-2.9004548798127416E-2</v>
      </c>
    </row>
    <row r="369" spans="1:8" x14ac:dyDescent="0.35">
      <c r="A369">
        <v>360</v>
      </c>
      <c r="B369">
        <f t="shared" si="34"/>
        <v>360</v>
      </c>
      <c r="C369">
        <f t="shared" si="35"/>
        <v>298.61336753135282</v>
      </c>
      <c r="D369">
        <f t="shared" si="30"/>
        <v>2.4945226245348749E-2</v>
      </c>
      <c r="E369">
        <f t="shared" si="31"/>
        <v>298.63831275759816</v>
      </c>
      <c r="F369">
        <f t="shared" si="32"/>
        <v>2.4497234974055163E-2</v>
      </c>
      <c r="G369">
        <f t="shared" si="33"/>
        <v>298.63808876196254</v>
      </c>
      <c r="H369">
        <f>G369 - Euler!E369</f>
        <v>-2.8707649128932644E-2</v>
      </c>
    </row>
    <row r="370" spans="1:8" x14ac:dyDescent="0.35">
      <c r="A370">
        <v>361</v>
      </c>
      <c r="B370">
        <f t="shared" si="34"/>
        <v>361</v>
      </c>
      <c r="C370">
        <f t="shared" si="35"/>
        <v>298.63808876196254</v>
      </c>
      <c r="D370">
        <f t="shared" si="30"/>
        <v>2.4501257836707389E-2</v>
      </c>
      <c r="E370">
        <f t="shared" si="31"/>
        <v>298.66259001979927</v>
      </c>
      <c r="F370">
        <f t="shared" si="32"/>
        <v>2.4061212595529641E-2</v>
      </c>
      <c r="G370">
        <f t="shared" si="33"/>
        <v>298.66236999717864</v>
      </c>
      <c r="H370">
        <f>G370 - Euler!E370</f>
        <v>-2.8412076530230479E-2</v>
      </c>
    </row>
    <row r="371" spans="1:8" x14ac:dyDescent="0.35">
      <c r="A371">
        <v>362</v>
      </c>
      <c r="B371">
        <f t="shared" si="34"/>
        <v>362</v>
      </c>
      <c r="C371">
        <f t="shared" si="35"/>
        <v>298.66236999717864</v>
      </c>
      <c r="D371">
        <f t="shared" si="30"/>
        <v>2.4065164346620298E-2</v>
      </c>
      <c r="E371">
        <f t="shared" si="31"/>
        <v>298.68643516152525</v>
      </c>
      <c r="F371">
        <f t="shared" si="32"/>
        <v>2.3632925156222753E-2</v>
      </c>
      <c r="G371">
        <f t="shared" si="33"/>
        <v>298.68621904193009</v>
      </c>
      <c r="H371">
        <f>G371 - Euler!E371</f>
        <v>-2.8117878385558015E-2</v>
      </c>
    </row>
    <row r="372" spans="1:8" x14ac:dyDescent="0.35">
      <c r="A372">
        <v>363</v>
      </c>
      <c r="B372">
        <f t="shared" si="34"/>
        <v>363</v>
      </c>
      <c r="C372">
        <f t="shared" si="35"/>
        <v>298.68621904193009</v>
      </c>
      <c r="D372">
        <f t="shared" si="30"/>
        <v>2.3636807039891246E-2</v>
      </c>
      <c r="E372">
        <f t="shared" si="31"/>
        <v>298.70985584896999</v>
      </c>
      <c r="F372">
        <f t="shared" si="32"/>
        <v>2.3212236352760249E-2</v>
      </c>
      <c r="G372">
        <f t="shared" si="33"/>
        <v>298.7096435636264</v>
      </c>
      <c r="H372">
        <f>G372 - Euler!E372</f>
        <v>-2.7825099979224888E-2</v>
      </c>
    </row>
    <row r="373" spans="1:8" x14ac:dyDescent="0.35">
      <c r="A373">
        <v>364</v>
      </c>
      <c r="B373">
        <f t="shared" si="34"/>
        <v>364</v>
      </c>
      <c r="C373">
        <f t="shared" si="35"/>
        <v>298.7096435636264</v>
      </c>
      <c r="D373">
        <f t="shared" si="30"/>
        <v>2.3216049591839077E-2</v>
      </c>
      <c r="E373">
        <f t="shared" si="31"/>
        <v>298.73285961321824</v>
      </c>
      <c r="F373">
        <f t="shared" si="32"/>
        <v>2.279901225126623E-2</v>
      </c>
      <c r="G373">
        <f t="shared" si="33"/>
        <v>298.73265109454798</v>
      </c>
      <c r="H373">
        <f>G373 - Euler!E373</f>
        <v>-2.7533784555089369E-2</v>
      </c>
    </row>
    <row r="374" spans="1:8" x14ac:dyDescent="0.35">
      <c r="A374">
        <v>365</v>
      </c>
      <c r="B374">
        <f t="shared" si="34"/>
        <v>365</v>
      </c>
      <c r="C374">
        <f t="shared" si="35"/>
        <v>298.73265109454798</v>
      </c>
      <c r="D374">
        <f t="shared" si="30"/>
        <v>2.2802758047627568E-2</v>
      </c>
      <c r="E374">
        <f t="shared" si="31"/>
        <v>298.75545385259562</v>
      </c>
      <c r="F374">
        <f t="shared" si="32"/>
        <v>2.2393121247308179E-2</v>
      </c>
      <c r="G374">
        <f t="shared" si="33"/>
        <v>298.75524903419546</v>
      </c>
      <c r="H374">
        <f>G374 - Euler!E374</f>
        <v>-2.7243973373856534E-2</v>
      </c>
    </row>
    <row r="375" spans="1:8" x14ac:dyDescent="0.35">
      <c r="A375">
        <v>366</v>
      </c>
      <c r="B375">
        <f t="shared" si="34"/>
        <v>366</v>
      </c>
      <c r="C375">
        <f t="shared" si="35"/>
        <v>298.75524903419546</v>
      </c>
      <c r="D375">
        <f t="shared" si="30"/>
        <v>2.2396800782204705E-2</v>
      </c>
      <c r="E375">
        <f t="shared" si="31"/>
        <v>298.77764583497765</v>
      </c>
      <c r="F375">
        <f t="shared" si="32"/>
        <v>2.1994434026511758E-2</v>
      </c>
      <c r="G375">
        <f t="shared" si="33"/>
        <v>298.77744465159981</v>
      </c>
      <c r="H375">
        <f>G375 - Euler!E375</f>
        <v>-2.6955705769296401E-2</v>
      </c>
    </row>
    <row r="376" spans="1:8" x14ac:dyDescent="0.35">
      <c r="A376">
        <v>367</v>
      </c>
      <c r="B376">
        <f t="shared" si="34"/>
        <v>367</v>
      </c>
      <c r="C376">
        <f t="shared" si="35"/>
        <v>298.77744465159981</v>
      </c>
      <c r="D376">
        <f t="shared" si="30"/>
        <v>2.1998048460926001E-2</v>
      </c>
      <c r="E376">
        <f t="shared" si="31"/>
        <v>298.79944270006075</v>
      </c>
      <c r="F376">
        <f t="shared" si="32"/>
        <v>2.1602823525786897E-2</v>
      </c>
      <c r="G376">
        <f t="shared" si="33"/>
        <v>298.79924508759319</v>
      </c>
      <c r="H376">
        <f>G376 - Euler!E376</f>
        <v>-2.6669019202813615E-2</v>
      </c>
    </row>
    <row r="377" spans="1:8" x14ac:dyDescent="0.35">
      <c r="A377">
        <v>368</v>
      </c>
      <c r="B377">
        <f t="shared" si="34"/>
        <v>368</v>
      </c>
      <c r="C377">
        <f t="shared" si="35"/>
        <v>298.79924508759319</v>
      </c>
      <c r="D377">
        <f t="shared" si="30"/>
        <v>2.1606374000748524E-2</v>
      </c>
      <c r="E377">
        <f t="shared" si="31"/>
        <v>298.82085146159392</v>
      </c>
      <c r="F377">
        <f t="shared" si="32"/>
        <v>2.1218164895168139E-2</v>
      </c>
      <c r="G377">
        <f t="shared" si="33"/>
        <v>298.82065735704117</v>
      </c>
      <c r="H377">
        <f>G377 - Euler!E377</f>
        <v>-2.6383949316993949E-2</v>
      </c>
    </row>
    <row r="378" spans="1:8" x14ac:dyDescent="0.35">
      <c r="A378">
        <v>369</v>
      </c>
      <c r="B378">
        <f t="shared" si="34"/>
        <v>369</v>
      </c>
      <c r="C378">
        <f t="shared" si="35"/>
        <v>298.82065735704117</v>
      </c>
      <c r="D378">
        <f t="shared" si="30"/>
        <v>2.1221652532091653E-2</v>
      </c>
      <c r="E378">
        <f t="shared" si="31"/>
        <v>298.84187900957329</v>
      </c>
      <c r="F378">
        <f t="shared" si="32"/>
        <v>2.0840335460267295E-2</v>
      </c>
      <c r="G378">
        <f t="shared" si="33"/>
        <v>298.84168835103736</v>
      </c>
      <c r="H378">
        <f>G378 - Euler!E378</f>
        <v>-2.6100529987900245E-2</v>
      </c>
    </row>
    <row r="379" spans="1:8" x14ac:dyDescent="0.35">
      <c r="A379">
        <v>370</v>
      </c>
      <c r="B379">
        <f t="shared" si="34"/>
        <v>370</v>
      </c>
      <c r="C379">
        <f t="shared" si="35"/>
        <v>298.84168835103736</v>
      </c>
      <c r="D379">
        <f t="shared" si="30"/>
        <v>2.0843761361276688E-2</v>
      </c>
      <c r="E379">
        <f t="shared" si="31"/>
        <v>298.86253211239864</v>
      </c>
      <c r="F379">
        <f t="shared" si="32"/>
        <v>2.0469214685338865E-2</v>
      </c>
      <c r="G379">
        <f t="shared" si="33"/>
        <v>298.86234483906065</v>
      </c>
      <c r="H379">
        <f>G379 - Euler!E379</f>
        <v>-2.5818793375719906E-2</v>
      </c>
    </row>
    <row r="380" spans="1:8" x14ac:dyDescent="0.35">
      <c r="A380">
        <v>371</v>
      </c>
      <c r="B380">
        <f t="shared" si="34"/>
        <v>371</v>
      </c>
      <c r="C380">
        <f t="shared" si="35"/>
        <v>298.86234483906065</v>
      </c>
      <c r="D380">
        <f t="shared" si="30"/>
        <v>2.0472579933581467E-2</v>
      </c>
      <c r="E380">
        <f t="shared" si="31"/>
        <v>298.88281741899425</v>
      </c>
      <c r="F380">
        <f t="shared" si="32"/>
        <v>2.0104684136912781E-2</v>
      </c>
      <c r="G380">
        <f t="shared" si="33"/>
        <v>298.88263347109591</v>
      </c>
      <c r="H380">
        <f>G380 - Euler!E380</f>
        <v>-2.5538769974616571E-2</v>
      </c>
    </row>
    <row r="381" spans="1:8" x14ac:dyDescent="0.35">
      <c r="A381">
        <v>372</v>
      </c>
      <c r="B381">
        <f t="shared" si="34"/>
        <v>372</v>
      </c>
      <c r="C381">
        <f t="shared" si="35"/>
        <v>298.88263347109591</v>
      </c>
      <c r="D381">
        <f t="shared" si="30"/>
        <v>2.0107989796876686E-2</v>
      </c>
      <c r="E381">
        <f t="shared" si="31"/>
        <v>298.9027414608928</v>
      </c>
      <c r="F381">
        <f t="shared" si="32"/>
        <v>1.9746627448039934E-2</v>
      </c>
      <c r="G381">
        <f t="shared" si="33"/>
        <v>298.90256077971839</v>
      </c>
      <c r="H381">
        <f>G381 - Euler!E381</f>
        <v>-2.5260488661444924E-2</v>
      </c>
    </row>
    <row r="382" spans="1:8" x14ac:dyDescent="0.35">
      <c r="A382">
        <v>373</v>
      </c>
      <c r="B382">
        <f t="shared" si="34"/>
        <v>373</v>
      </c>
      <c r="C382">
        <f t="shared" si="35"/>
        <v>298.90256077971839</v>
      </c>
      <c r="D382">
        <f t="shared" si="30"/>
        <v>1.9749874565858281E-2</v>
      </c>
      <c r="E382">
        <f t="shared" si="31"/>
        <v>298.92231065428422</v>
      </c>
      <c r="F382">
        <f t="shared" si="32"/>
        <v>1.9394930283088058E-2</v>
      </c>
      <c r="G382">
        <f t="shared" si="33"/>
        <v>298.92213318214289</v>
      </c>
      <c r="H382">
        <f>G382 - Euler!E382</f>
        <v>-2.4983976742760206E-2</v>
      </c>
    </row>
    <row r="383" spans="1:8" x14ac:dyDescent="0.35">
      <c r="A383">
        <v>374</v>
      </c>
      <c r="B383">
        <f t="shared" si="34"/>
        <v>374</v>
      </c>
      <c r="C383">
        <f t="shared" si="35"/>
        <v>298.92213318214289</v>
      </c>
      <c r="D383">
        <f t="shared" si="30"/>
        <v>1.9398119886853932E-2</v>
      </c>
      <c r="E383">
        <f t="shared" si="31"/>
        <v>298.94153130202972</v>
      </c>
      <c r="F383">
        <f t="shared" si="32"/>
        <v>1.9049480303128388E-2</v>
      </c>
      <c r="G383">
        <f t="shared" si="33"/>
        <v>298.94135698223789</v>
      </c>
      <c r="H383">
        <f>G383 - Euler!E383</f>
        <v>-2.4709260001429811E-2</v>
      </c>
    </row>
    <row r="384" spans="1:8" x14ac:dyDescent="0.35">
      <c r="A384">
        <v>375</v>
      </c>
      <c r="B384">
        <f t="shared" si="34"/>
        <v>375</v>
      </c>
      <c r="C384">
        <f t="shared" si="35"/>
        <v>298.94135698223789</v>
      </c>
      <c r="D384">
        <f t="shared" si="30"/>
        <v>1.9052613403184409E-2</v>
      </c>
      <c r="E384">
        <f t="shared" si="31"/>
        <v>298.96040959564107</v>
      </c>
      <c r="F384">
        <f t="shared" si="32"/>
        <v>1.8710167131866962E-2</v>
      </c>
      <c r="G384">
        <f t="shared" si="33"/>
        <v>298.96023837250544</v>
      </c>
      <c r="H384">
        <f>G384 - Euler!E384</f>
        <v>-2.4436362741312223E-2</v>
      </c>
    </row>
    <row r="385" spans="1:8" x14ac:dyDescent="0.35">
      <c r="A385">
        <v>376</v>
      </c>
      <c r="B385">
        <f t="shared" si="34"/>
        <v>376</v>
      </c>
      <c r="C385">
        <f t="shared" si="35"/>
        <v>298.96023837250544</v>
      </c>
      <c r="D385">
        <f t="shared" si="30"/>
        <v>1.8713244721103202E-2</v>
      </c>
      <c r="E385">
        <f t="shared" si="31"/>
        <v>298.97895161722653</v>
      </c>
      <c r="F385">
        <f t="shared" si="32"/>
        <v>1.8376882322131916E-2</v>
      </c>
      <c r="G385">
        <f t="shared" si="33"/>
        <v>298.97878343602707</v>
      </c>
      <c r="H385">
        <f>G385 - Euler!E385</f>
        <v>-2.4165307831651717E-2</v>
      </c>
    </row>
    <row r="386" spans="1:8" x14ac:dyDescent="0.35">
      <c r="A386">
        <v>377</v>
      </c>
      <c r="B386">
        <f t="shared" si="34"/>
        <v>377</v>
      </c>
      <c r="C386">
        <f t="shared" si="35"/>
        <v>298.97878343602707</v>
      </c>
      <c r="D386">
        <f t="shared" si="30"/>
        <v>1.8379905376279849E-2</v>
      </c>
      <c r="E386">
        <f t="shared" si="31"/>
        <v>298.99716334140334</v>
      </c>
      <c r="F386">
        <f t="shared" si="32"/>
        <v>1.8049519322908745E-2</v>
      </c>
      <c r="G386">
        <f t="shared" si="33"/>
        <v>298.99699814837669</v>
      </c>
      <c r="H386">
        <f>G386 - Euler!E386</f>
        <v>-2.3896116749824614E-2</v>
      </c>
    </row>
    <row r="387" spans="1:8" x14ac:dyDescent="0.35">
      <c r="A387">
        <v>378</v>
      </c>
      <c r="B387">
        <f t="shared" si="34"/>
        <v>378</v>
      </c>
      <c r="C387">
        <f t="shared" si="35"/>
        <v>298.99699814837669</v>
      </c>
      <c r="D387">
        <f t="shared" si="30"/>
        <v>1.8052488800826747E-2</v>
      </c>
      <c r="E387">
        <f t="shared" si="31"/>
        <v>299.01505063717752</v>
      </c>
      <c r="F387">
        <f t="shared" si="32"/>
        <v>1.7727973446906031E-2</v>
      </c>
      <c r="G387">
        <f t="shared" si="33"/>
        <v>299.01488837950058</v>
      </c>
      <c r="H387">
        <f>G387 - Euler!E387</f>
        <v>-2.3628809623232883E-2</v>
      </c>
    </row>
    <row r="388" spans="1:8" x14ac:dyDescent="0.35">
      <c r="A388">
        <v>379</v>
      </c>
      <c r="B388">
        <f t="shared" si="34"/>
        <v>379</v>
      </c>
      <c r="C388">
        <f t="shared" si="35"/>
        <v>299.01488837950058</v>
      </c>
      <c r="D388">
        <f t="shared" si="30"/>
        <v>1.773089029086089E-2</v>
      </c>
      <c r="E388">
        <f t="shared" si="31"/>
        <v>299.03261926979144</v>
      </c>
      <c r="F388">
        <f t="shared" si="32"/>
        <v>1.7412141838664474E-2</v>
      </c>
      <c r="G388">
        <f t="shared" si="33"/>
        <v>299.03245989556535</v>
      </c>
      <c r="H388">
        <f>G388 - Euler!E388</f>
        <v>-2.3363405270231397E-2</v>
      </c>
    </row>
    <row r="389" spans="1:8" x14ac:dyDescent="0.35">
      <c r="A389">
        <v>380</v>
      </c>
      <c r="B389">
        <f t="shared" si="34"/>
        <v>380</v>
      </c>
      <c r="C389">
        <f t="shared" si="35"/>
        <v>299.03245989556535</v>
      </c>
      <c r="D389">
        <f t="shared" si="30"/>
        <v>1.7415006974601875E-2</v>
      </c>
      <c r="E389">
        <f t="shared" si="31"/>
        <v>299.04987490253995</v>
      </c>
      <c r="F389">
        <f t="shared" si="32"/>
        <v>1.7101923443155885E-2</v>
      </c>
      <c r="G389">
        <f t="shared" si="33"/>
        <v>299.04971836077425</v>
      </c>
      <c r="H389">
        <f>G389 - Euler!E389</f>
        <v>-2.3099921240032018E-2</v>
      </c>
    </row>
    <row r="390" spans="1:8" x14ac:dyDescent="0.35">
      <c r="A390">
        <v>381</v>
      </c>
      <c r="B390">
        <f t="shared" si="34"/>
        <v>381</v>
      </c>
      <c r="C390">
        <f t="shared" si="35"/>
        <v>299.04971836077425</v>
      </c>
      <c r="D390">
        <f t="shared" si="30"/>
        <v>1.7104737780986069E-2</v>
      </c>
      <c r="E390">
        <f t="shared" si="31"/>
        <v>299.06682309855523</v>
      </c>
      <c r="F390">
        <f t="shared" si="32"/>
        <v>1.6797218974932571E-2</v>
      </c>
      <c r="G390">
        <f t="shared" si="33"/>
        <v>299.06666933915221</v>
      </c>
      <c r="H390">
        <f>G390 - Euler!E390</f>
        <v>-2.2838373851413962E-2</v>
      </c>
    </row>
    <row r="391" spans="1:8" x14ac:dyDescent="0.35">
      <c r="A391">
        <v>382</v>
      </c>
      <c r="B391">
        <f t="shared" si="34"/>
        <v>382</v>
      </c>
      <c r="C391">
        <f t="shared" si="35"/>
        <v>299.06666933915221</v>
      </c>
      <c r="D391">
        <f t="shared" si="30"/>
        <v>1.6799983408790548E-2</v>
      </c>
      <c r="E391">
        <f t="shared" si="31"/>
        <v>299.08346932256103</v>
      </c>
      <c r="F391">
        <f t="shared" si="32"/>
        <v>1.6497930887756435E-2</v>
      </c>
      <c r="G391">
        <f t="shared" si="33"/>
        <v>299.08331829630049</v>
      </c>
      <c r="H391">
        <f>G391 - Euler!E391</f>
        <v>-2.2578778230865737E-2</v>
      </c>
    </row>
    <row r="392" spans="1:8" x14ac:dyDescent="0.35">
      <c r="A392">
        <v>383</v>
      </c>
      <c r="B392">
        <f t="shared" si="34"/>
        <v>383</v>
      </c>
      <c r="C392">
        <f t="shared" si="35"/>
        <v>299.08331829630049</v>
      </c>
      <c r="D392">
        <f t="shared" si="30"/>
        <v>1.6500646296270158E-2</v>
      </c>
      <c r="E392">
        <f t="shared" si="31"/>
        <v>299.09981894259676</v>
      </c>
      <c r="F392">
        <f t="shared" si="32"/>
        <v>1.6203963344744554E-2</v>
      </c>
      <c r="G392">
        <f t="shared" si="33"/>
        <v>299.09967060112098</v>
      </c>
      <c r="H392">
        <f>G392 - Euler!E392</f>
        <v>-2.2321148349476516E-2</v>
      </c>
    </row>
    <row r="393" spans="1:8" x14ac:dyDescent="0.35">
      <c r="A393">
        <v>384</v>
      </c>
      <c r="B393">
        <f t="shared" si="34"/>
        <v>384</v>
      </c>
      <c r="C393">
        <f t="shared" si="35"/>
        <v>299.09967060112098</v>
      </c>
      <c r="D393">
        <f t="shared" ref="D393:D456" si="36">$B$2 * POWER(C393,3/4) * (1 - POWER(C393/$B$4,1/4))</f>
        <v>1.6206630591296657E-2</v>
      </c>
      <c r="E393">
        <f t="shared" ref="E393:E456" si="37">C393 + $B$3 * D393</f>
        <v>299.11587723171226</v>
      </c>
      <c r="F393">
        <f t="shared" ref="F393:F456" si="38">$B$2 * POWER(E393,3/4) * (1 - POWER(E393/$B$4,1/4))</f>
        <v>1.5915222188984026E-2</v>
      </c>
      <c r="G393">
        <f t="shared" ref="G393:G456" si="39">C393 + ($B$3/2) * (D393 + F393)</f>
        <v>299.11573152751112</v>
      </c>
      <c r="H393">
        <f>G393 - Euler!E393</f>
        <v>-2.2065497058918027E-2</v>
      </c>
    </row>
    <row r="394" spans="1:8" x14ac:dyDescent="0.35">
      <c r="A394">
        <v>385</v>
      </c>
      <c r="B394">
        <f t="shared" ref="B394:B409" si="40">B393 + $B$3</f>
        <v>385</v>
      </c>
      <c r="C394">
        <f t="shared" ref="C394:C409" si="41">G393</f>
        <v>299.11573152751112</v>
      </c>
      <c r="D394">
        <f t="shared" si="36"/>
        <v>1.5917842121962296E-2</v>
      </c>
      <c r="E394">
        <f t="shared" si="37"/>
        <v>299.13164936963307</v>
      </c>
      <c r="F394">
        <f t="shared" si="38"/>
        <v>1.5631614914652297E-2</v>
      </c>
      <c r="G394">
        <f t="shared" si="39"/>
        <v>299.13150625602941</v>
      </c>
      <c r="H394">
        <f>G394 - Euler!E394</f>
        <v>-2.1811836126801154E-2</v>
      </c>
    </row>
    <row r="395" spans="1:8" x14ac:dyDescent="0.35">
      <c r="A395">
        <v>386</v>
      </c>
      <c r="B395">
        <f t="shared" si="40"/>
        <v>386</v>
      </c>
      <c r="C395">
        <f t="shared" si="41"/>
        <v>299.13150625602941</v>
      </c>
      <c r="D395">
        <f t="shared" si="36"/>
        <v>1.5634188367715383E-2</v>
      </c>
      <c r="E395">
        <f t="shared" si="37"/>
        <v>299.14714044439711</v>
      </c>
      <c r="F395">
        <f t="shared" si="38"/>
        <v>1.5353050638605715E-2</v>
      </c>
      <c r="G395">
        <f t="shared" si="39"/>
        <v>299.14699987553257</v>
      </c>
      <c r="H395">
        <f>G395 - Euler!E395</f>
        <v>-2.1560176270725151E-2</v>
      </c>
    </row>
    <row r="396" spans="1:8" x14ac:dyDescent="0.35">
      <c r="A396">
        <v>387</v>
      </c>
      <c r="B396">
        <f t="shared" si="40"/>
        <v>387</v>
      </c>
      <c r="C396">
        <f t="shared" si="41"/>
        <v>299.14699987553257</v>
      </c>
      <c r="D396">
        <f t="shared" si="36"/>
        <v>1.53555784309158E-2</v>
      </c>
      <c r="E396">
        <f t="shared" si="37"/>
        <v>299.16235545396347</v>
      </c>
      <c r="F396">
        <f t="shared" si="38"/>
        <v>1.5079440072436161E-2</v>
      </c>
      <c r="G396">
        <f t="shared" si="39"/>
        <v>299.16221738478424</v>
      </c>
      <c r="H396">
        <f>G396 - Euler!E396</f>
        <v>-2.1310527192042628E-2</v>
      </c>
    </row>
    <row r="397" spans="1:8" x14ac:dyDescent="0.35">
      <c r="A397">
        <v>388</v>
      </c>
      <c r="B397">
        <f t="shared" si="40"/>
        <v>388</v>
      </c>
      <c r="C397">
        <f t="shared" si="41"/>
        <v>299.16221738478424</v>
      </c>
      <c r="D397">
        <f t="shared" si="36"/>
        <v>1.5081923008913988E-2</v>
      </c>
      <c r="E397">
        <f t="shared" si="37"/>
        <v>299.17729930779313</v>
      </c>
      <c r="F397">
        <f t="shared" si="38"/>
        <v>1.4810695494989101E-2</v>
      </c>
      <c r="G397">
        <f t="shared" si="39"/>
        <v>299.17716369403621</v>
      </c>
      <c r="H397">
        <f>G397 - Euler!E397</f>
        <v>-2.1062897608032927E-2</v>
      </c>
    </row>
    <row r="398" spans="1:8" x14ac:dyDescent="0.35">
      <c r="A398">
        <v>389</v>
      </c>
      <c r="B398">
        <f t="shared" si="40"/>
        <v>389</v>
      </c>
      <c r="C398">
        <f t="shared" si="41"/>
        <v>299.17716369403621</v>
      </c>
      <c r="D398">
        <f t="shared" si="36"/>
        <v>1.4813134366552896E-2</v>
      </c>
      <c r="E398">
        <f t="shared" si="37"/>
        <v>299.19197682840274</v>
      </c>
      <c r="F398">
        <f t="shared" si="38"/>
        <v>1.4546730725338472E-2</v>
      </c>
      <c r="G398">
        <f t="shared" si="39"/>
        <v>299.19184362658217</v>
      </c>
      <c r="H398">
        <f>G398 - Euler!E398</f>
        <v>-2.0817295284075499E-2</v>
      </c>
    </row>
    <row r="399" spans="1:8" x14ac:dyDescent="0.35">
      <c r="A399">
        <v>390</v>
      </c>
      <c r="B399">
        <f t="shared" si="40"/>
        <v>390</v>
      </c>
      <c r="C399">
        <f t="shared" si="41"/>
        <v>299.19184362658217</v>
      </c>
      <c r="D399">
        <f t="shared" si="36"/>
        <v>1.4549126309138575E-2</v>
      </c>
      <c r="E399">
        <f t="shared" si="37"/>
        <v>299.2063927528913</v>
      </c>
      <c r="F399">
        <f t="shared" si="38"/>
        <v>1.4287461096216021E-2</v>
      </c>
      <c r="G399">
        <f t="shared" si="39"/>
        <v>299.20626192028487</v>
      </c>
      <c r="H399">
        <f>G399 - Euler!E399</f>
        <v>-2.0573727064288505E-2</v>
      </c>
    </row>
    <row r="400" spans="1:8" x14ac:dyDescent="0.35">
      <c r="A400">
        <v>391</v>
      </c>
      <c r="B400">
        <f t="shared" si="40"/>
        <v>391</v>
      </c>
      <c r="C400">
        <f t="shared" si="41"/>
        <v>299.20626192028487</v>
      </c>
      <c r="D400">
        <f t="shared" si="36"/>
        <v>1.4289814155870221E-2</v>
      </c>
      <c r="E400">
        <f t="shared" si="37"/>
        <v>299.22055173444073</v>
      </c>
      <c r="F400">
        <f t="shared" si="38"/>
        <v>1.4032803427878356E-2</v>
      </c>
      <c r="G400">
        <f t="shared" si="39"/>
        <v>299.22042322907674</v>
      </c>
      <c r="H400">
        <f>G400 - Euler!E400</f>
        <v>-2.033219890199689E-2</v>
      </c>
    </row>
    <row r="401" spans="1:8" x14ac:dyDescent="0.35">
      <c r="A401">
        <v>392</v>
      </c>
      <c r="B401">
        <f t="shared" si="40"/>
        <v>392</v>
      </c>
      <c r="C401">
        <f t="shared" si="41"/>
        <v>299.22042322907674</v>
      </c>
      <c r="D401">
        <f t="shared" si="36"/>
        <v>1.4035114713698204E-2</v>
      </c>
      <c r="E401">
        <f t="shared" si="37"/>
        <v>299.23445834379044</v>
      </c>
      <c r="F401">
        <f t="shared" si="38"/>
        <v>1.3782676002392564E-2</v>
      </c>
      <c r="G401">
        <f t="shared" si="39"/>
        <v>299.23433212443479</v>
      </c>
      <c r="H401">
        <f>G401 - Euler!E401</f>
        <v>-2.0092715888779367E-2</v>
      </c>
    </row>
    <row r="402" spans="1:8" x14ac:dyDescent="0.35">
      <c r="A402">
        <v>393</v>
      </c>
      <c r="B402">
        <f t="shared" si="40"/>
        <v>393</v>
      </c>
      <c r="C402">
        <f t="shared" si="41"/>
        <v>299.23433212443479</v>
      </c>
      <c r="D402">
        <f t="shared" si="36"/>
        <v>1.378494625161983E-2</v>
      </c>
      <c r="E402">
        <f t="shared" si="37"/>
        <v>299.24811707068642</v>
      </c>
      <c r="F402">
        <f t="shared" si="38"/>
        <v>1.3536998538392873E-2</v>
      </c>
      <c r="G402">
        <f t="shared" si="39"/>
        <v>299.24799309682982</v>
      </c>
      <c r="H402">
        <f>G402 - Euler!E402</f>
        <v>-1.9855282283458564E-2</v>
      </c>
    </row>
    <row r="403" spans="1:8" x14ac:dyDescent="0.35">
      <c r="A403">
        <v>394</v>
      </c>
      <c r="B403">
        <f t="shared" si="40"/>
        <v>394</v>
      </c>
      <c r="C403">
        <f t="shared" si="41"/>
        <v>299.24799309682982</v>
      </c>
      <c r="D403">
        <f t="shared" si="36"/>
        <v>1.353922847540053E-2</v>
      </c>
      <c r="E403">
        <f t="shared" si="37"/>
        <v>299.26153232530521</v>
      </c>
      <c r="F403">
        <f t="shared" si="38"/>
        <v>1.3295692166200208E-2</v>
      </c>
      <c r="G403">
        <f t="shared" si="39"/>
        <v>299.26141055715061</v>
      </c>
      <c r="H403">
        <f>G403 - Euler!E403</f>
        <v>-1.9619901539897455E-2</v>
      </c>
    </row>
    <row r="404" spans="1:8" x14ac:dyDescent="0.35">
      <c r="A404">
        <v>395</v>
      </c>
      <c r="B404">
        <f t="shared" si="40"/>
        <v>395</v>
      </c>
      <c r="C404">
        <f t="shared" si="41"/>
        <v>299.26141055715061</v>
      </c>
      <c r="D404">
        <f t="shared" si="36"/>
        <v>1.3297882502737194E-2</v>
      </c>
      <c r="E404">
        <f t="shared" si="37"/>
        <v>299.27470843965335</v>
      </c>
      <c r="F404">
        <f t="shared" si="38"/>
        <v>1.3058679403417178E-2</v>
      </c>
      <c r="G404">
        <f t="shared" si="39"/>
        <v>299.27458883810368</v>
      </c>
      <c r="H404">
        <f>G404 - Euler!E404</f>
        <v>-1.9386576334170513E-2</v>
      </c>
    </row>
    <row r="405" spans="1:8" x14ac:dyDescent="0.35">
      <c r="A405">
        <v>396</v>
      </c>
      <c r="B405">
        <f t="shared" si="40"/>
        <v>396</v>
      </c>
      <c r="C405">
        <f t="shared" si="41"/>
        <v>299.27458883810368</v>
      </c>
      <c r="D405">
        <f t="shared" si="36"/>
        <v>1.3060830838800901E-2</v>
      </c>
      <c r="E405">
        <f t="shared" si="37"/>
        <v>299.28764966894249</v>
      </c>
      <c r="F405">
        <f t="shared" si="38"/>
        <v>1.2825884130885342E-2</v>
      </c>
      <c r="G405">
        <f t="shared" si="39"/>
        <v>299.28753219558854</v>
      </c>
      <c r="H405">
        <f>G405 - Euler!E405</f>
        <v>-1.9155308590995901E-2</v>
      </c>
    </row>
    <row r="406" spans="1:8" x14ac:dyDescent="0.35">
      <c r="A406">
        <v>397</v>
      </c>
      <c r="B406">
        <f t="shared" si="40"/>
        <v>397</v>
      </c>
      <c r="C406">
        <f t="shared" si="41"/>
        <v>299.28753219558854</v>
      </c>
      <c r="D406">
        <f t="shared" si="36"/>
        <v>1.2827997352228119E-2</v>
      </c>
      <c r="E406">
        <f t="shared" si="37"/>
        <v>299.30036019294079</v>
      </c>
      <c r="F406">
        <f t="shared" si="38"/>
        <v>1.2597231569073815E-2</v>
      </c>
      <c r="G406">
        <f t="shared" si="39"/>
        <v>299.30024481004921</v>
      </c>
      <c r="H406">
        <f>G406 - Euler!E406</f>
        <v>-1.8926099509769756E-2</v>
      </c>
    </row>
    <row r="407" spans="1:8" x14ac:dyDescent="0.35">
      <c r="A407">
        <v>398</v>
      </c>
      <c r="B407">
        <f t="shared" si="40"/>
        <v>398</v>
      </c>
      <c r="C407">
        <f t="shared" si="41"/>
        <v>299.30024481004921</v>
      </c>
      <c r="D407">
        <f t="shared" si="36"/>
        <v>1.2599307251481145E-2</v>
      </c>
      <c r="E407">
        <f t="shared" si="37"/>
        <v>299.3128441173007</v>
      </c>
      <c r="F407">
        <f t="shared" si="38"/>
        <v>1.2372648254841122E-2</v>
      </c>
      <c r="G407">
        <f t="shared" si="39"/>
        <v>299.31273078780237</v>
      </c>
      <c r="H407">
        <f>G407 - Euler!E407</f>
        <v>-1.8698949589520453E-2</v>
      </c>
    </row>
    <row r="408" spans="1:8" x14ac:dyDescent="0.35">
      <c r="A408">
        <v>399</v>
      </c>
      <c r="B408">
        <f t="shared" si="40"/>
        <v>399</v>
      </c>
      <c r="C408">
        <f t="shared" si="41"/>
        <v>299.31273078780237</v>
      </c>
      <c r="D408">
        <f t="shared" si="36"/>
        <v>1.2374687061629556E-2</v>
      </c>
      <c r="E408">
        <f t="shared" si="37"/>
        <v>299.32510547486402</v>
      </c>
      <c r="F408">
        <f t="shared" si="38"/>
        <v>1.2152062018617819E-2</v>
      </c>
      <c r="G408">
        <f t="shared" si="39"/>
        <v>299.32499416234248</v>
      </c>
      <c r="H408">
        <f>G408 - Euler!E408</f>
        <v>-1.8473858653408115E-2</v>
      </c>
    </row>
    <row r="409" spans="1:8" x14ac:dyDescent="0.35">
      <c r="A409">
        <v>400</v>
      </c>
      <c r="B409">
        <f t="shared" si="40"/>
        <v>400</v>
      </c>
      <c r="C409">
        <f t="shared" si="41"/>
        <v>299.32499416234248</v>
      </c>
      <c r="D409">
        <f t="shared" si="36"/>
        <v>1.2154064601499676E-2</v>
      </c>
      <c r="E409">
        <f t="shared" si="37"/>
        <v>299.33714822694395</v>
      </c>
      <c r="F409">
        <f t="shared" si="38"/>
        <v>1.1935401961937131E-2</v>
      </c>
      <c r="G409">
        <f t="shared" si="39"/>
        <v>299.33703889562418</v>
      </c>
      <c r="H409">
        <f>G409 - Euler!E409</f>
        <v>-1.8250825872598853E-2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9"/>
  <sheetViews>
    <sheetView tabSelected="1" zoomScale="77" workbookViewId="0">
      <pane ySplit="7" topLeftCell="A10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1" width="18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0.3</v>
      </c>
    </row>
    <row r="3" spans="1:4" x14ac:dyDescent="0.35">
      <c r="A3" t="s">
        <v>3</v>
      </c>
      <c r="B3">
        <v>1</v>
      </c>
    </row>
    <row r="4" spans="1:4" x14ac:dyDescent="0.35">
      <c r="A4" t="s">
        <v>4</v>
      </c>
      <c r="B4">
        <v>300</v>
      </c>
    </row>
    <row r="5" spans="1:4" x14ac:dyDescent="0.35">
      <c r="A5" t="s">
        <v>5</v>
      </c>
      <c r="B5">
        <v>1</v>
      </c>
    </row>
    <row r="6" spans="1:4" x14ac:dyDescent="0.35">
      <c r="A6" t="s">
        <v>6</v>
      </c>
      <c r="B6" t="s">
        <v>7</v>
      </c>
    </row>
    <row r="8" spans="1:4" x14ac:dyDescent="0.35">
      <c r="A8" t="s">
        <v>8</v>
      </c>
      <c r="B8" t="s">
        <v>9</v>
      </c>
      <c r="C8" t="s">
        <v>18</v>
      </c>
      <c r="D8" t="s">
        <v>19</v>
      </c>
    </row>
    <row r="9" spans="1:4" x14ac:dyDescent="0.35">
      <c r="A9">
        <v>0</v>
      </c>
      <c r="B9">
        <v>0</v>
      </c>
      <c r="C9">
        <f t="shared" ref="C9:C72" si="0">POWER( POWER($B$4,1/4) * (1 - (1 - POWER($B$5,1/4) / POWER($B$4,1/4)) * EXP(- $B$2 * B9 / (4 * POWER($B$4,1/4)) ) ), 4)</f>
        <v>1</v>
      </c>
      <c r="D9" t="str">
        <f t="shared" ref="D9:D72" si="1">IF(B9=0,"m0 exact","")</f>
        <v>m0 exact</v>
      </c>
    </row>
    <row r="10" spans="1:4" x14ac:dyDescent="0.35">
      <c r="A10">
        <v>1</v>
      </c>
      <c r="B10">
        <f t="shared" ref="B10:B73" si="2">B9 + $B$3</f>
        <v>1</v>
      </c>
      <c r="C10">
        <f t="shared" si="0"/>
        <v>1.2457369067122479</v>
      </c>
      <c r="D10" t="str">
        <f t="shared" si="1"/>
        <v/>
      </c>
    </row>
    <row r="11" spans="1:4" x14ac:dyDescent="0.35">
      <c r="A11">
        <v>2</v>
      </c>
      <c r="B11">
        <f t="shared" si="2"/>
        <v>2</v>
      </c>
      <c r="C11">
        <f t="shared" si="0"/>
        <v>1.5286485939791963</v>
      </c>
      <c r="D11" t="str">
        <f t="shared" si="1"/>
        <v/>
      </c>
    </row>
    <row r="12" spans="1:4" x14ac:dyDescent="0.35">
      <c r="A12">
        <v>3</v>
      </c>
      <c r="B12">
        <f t="shared" si="2"/>
        <v>3</v>
      </c>
      <c r="C12">
        <f t="shared" si="0"/>
        <v>1.8509187928172972</v>
      </c>
      <c r="D12" t="str">
        <f t="shared" si="1"/>
        <v/>
      </c>
    </row>
    <row r="13" spans="1:4" x14ac:dyDescent="0.35">
      <c r="A13">
        <v>4</v>
      </c>
      <c r="B13">
        <f t="shared" si="2"/>
        <v>4</v>
      </c>
      <c r="C13">
        <f t="shared" si="0"/>
        <v>2.2145716888045168</v>
      </c>
      <c r="D13" t="str">
        <f t="shared" si="1"/>
        <v/>
      </c>
    </row>
    <row r="14" spans="1:4" x14ac:dyDescent="0.35">
      <c r="A14">
        <v>5</v>
      </c>
      <c r="B14">
        <f t="shared" si="2"/>
        <v>5</v>
      </c>
      <c r="C14">
        <f t="shared" si="0"/>
        <v>2.621465641911616</v>
      </c>
      <c r="D14" t="str">
        <f t="shared" si="1"/>
        <v/>
      </c>
    </row>
    <row r="15" spans="1:4" x14ac:dyDescent="0.35">
      <c r="A15">
        <v>6</v>
      </c>
      <c r="B15">
        <f t="shared" si="2"/>
        <v>6</v>
      </c>
      <c r="C15">
        <f t="shared" si="0"/>
        <v>3.0732890506996662</v>
      </c>
      <c r="D15" t="str">
        <f t="shared" si="1"/>
        <v/>
      </c>
    </row>
    <row r="16" spans="1:4" x14ac:dyDescent="0.35">
      <c r="A16">
        <v>7</v>
      </c>
      <c r="B16">
        <f t="shared" si="2"/>
        <v>7</v>
      </c>
      <c r="C16">
        <f t="shared" si="0"/>
        <v>3.571558090880552</v>
      </c>
      <c r="D16" t="str">
        <f t="shared" si="1"/>
        <v/>
      </c>
    </row>
    <row r="17" spans="1:4" x14ac:dyDescent="0.35">
      <c r="A17">
        <v>8</v>
      </c>
      <c r="B17">
        <f t="shared" si="2"/>
        <v>8</v>
      </c>
      <c r="C17">
        <f t="shared" si="0"/>
        <v>4.1176160845258831</v>
      </c>
      <c r="D17" t="str">
        <f t="shared" si="1"/>
        <v/>
      </c>
    </row>
    <row r="18" spans="1:4" x14ac:dyDescent="0.35">
      <c r="A18">
        <v>9</v>
      </c>
      <c r="B18">
        <f t="shared" si="2"/>
        <v>9</v>
      </c>
      <c r="C18">
        <f t="shared" si="0"/>
        <v>4.7126342802333445</v>
      </c>
      <c r="D18" t="str">
        <f t="shared" si="1"/>
        <v/>
      </c>
    </row>
    <row r="19" spans="1:4" x14ac:dyDescent="0.35">
      <c r="A19">
        <v>10</v>
      </c>
      <c r="B19">
        <f t="shared" si="2"/>
        <v>10</v>
      </c>
      <c r="C19">
        <f t="shared" si="0"/>
        <v>5.3576138464997287</v>
      </c>
      <c r="D19" t="str">
        <f t="shared" si="1"/>
        <v/>
      </c>
    </row>
    <row r="20" spans="1:4" x14ac:dyDescent="0.35">
      <c r="A20">
        <v>11</v>
      </c>
      <c r="B20">
        <f t="shared" si="2"/>
        <v>11</v>
      </c>
      <c r="C20">
        <f t="shared" si="0"/>
        <v>6.0533889005751629</v>
      </c>
      <c r="D20" t="str">
        <f t="shared" si="1"/>
        <v/>
      </c>
    </row>
    <row r="21" spans="1:4" x14ac:dyDescent="0.35">
      <c r="A21">
        <v>12</v>
      </c>
      <c r="B21">
        <f t="shared" si="2"/>
        <v>12</v>
      </c>
      <c r="C21">
        <f t="shared" si="0"/>
        <v>6.8006304133379984</v>
      </c>
      <c r="D21" t="str">
        <f t="shared" si="1"/>
        <v/>
      </c>
    </row>
    <row r="22" spans="1:4" x14ac:dyDescent="0.35">
      <c r="A22">
        <v>13</v>
      </c>
      <c r="B22">
        <f t="shared" si="2"/>
        <v>13</v>
      </c>
      <c r="C22">
        <f t="shared" si="0"/>
        <v>7.5998508473779625</v>
      </c>
      <c r="D22" t="str">
        <f t="shared" si="1"/>
        <v/>
      </c>
    </row>
    <row r="23" spans="1:4" x14ac:dyDescent="0.35">
      <c r="A23">
        <v>14</v>
      </c>
      <c r="B23">
        <f t="shared" si="2"/>
        <v>14</v>
      </c>
      <c r="C23">
        <f t="shared" si="0"/>
        <v>8.4514094006380631</v>
      </c>
      <c r="D23" t="str">
        <f t="shared" si="1"/>
        <v/>
      </c>
    </row>
    <row r="24" spans="1:4" x14ac:dyDescent="0.35">
      <c r="A24">
        <v>15</v>
      </c>
      <c r="B24">
        <f t="shared" si="2"/>
        <v>15</v>
      </c>
      <c r="C24">
        <f t="shared" si="0"/>
        <v>9.3555177417655226</v>
      </c>
      <c r="D24" t="str">
        <f t="shared" si="1"/>
        <v/>
      </c>
    </row>
    <row r="25" spans="1:4" x14ac:dyDescent="0.35">
      <c r="A25">
        <v>16</v>
      </c>
      <c r="B25">
        <f t="shared" si="2"/>
        <v>16</v>
      </c>
      <c r="C25">
        <f t="shared" si="0"/>
        <v>10.312246135870799</v>
      </c>
      <c r="D25" t="str">
        <f t="shared" si="1"/>
        <v/>
      </c>
    </row>
    <row r="26" spans="1:4" x14ac:dyDescent="0.35">
      <c r="A26">
        <v>17</v>
      </c>
      <c r="B26">
        <f t="shared" si="2"/>
        <v>17</v>
      </c>
      <c r="C26">
        <f t="shared" si="0"/>
        <v>11.32152987079475</v>
      </c>
      <c r="D26" t="str">
        <f t="shared" si="1"/>
        <v/>
      </c>
    </row>
    <row r="27" spans="1:4" x14ac:dyDescent="0.35">
      <c r="A27">
        <v>18</v>
      </c>
      <c r="B27">
        <f t="shared" si="2"/>
        <v>18</v>
      </c>
      <c r="C27">
        <f t="shared" si="0"/>
        <v>12.383175904333235</v>
      </c>
      <c r="D27" t="str">
        <f t="shared" si="1"/>
        <v/>
      </c>
    </row>
    <row r="28" spans="1:4" x14ac:dyDescent="0.35">
      <c r="A28">
        <v>19</v>
      </c>
      <c r="B28">
        <f t="shared" si="2"/>
        <v>19</v>
      </c>
      <c r="C28">
        <f t="shared" si="0"/>
        <v>13.496869662252982</v>
      </c>
      <c r="D28" t="str">
        <f t="shared" si="1"/>
        <v/>
      </c>
    </row>
    <row r="29" spans="1:4" x14ac:dyDescent="0.35">
      <c r="A29">
        <v>20</v>
      </c>
      <c r="B29">
        <f t="shared" si="2"/>
        <v>20</v>
      </c>
      <c r="C29">
        <f t="shared" si="0"/>
        <v>14.66218192543435</v>
      </c>
      <c r="D29" t="str">
        <f t="shared" si="1"/>
        <v/>
      </c>
    </row>
    <row r="30" spans="1:4" x14ac:dyDescent="0.35">
      <c r="A30">
        <v>21</v>
      </c>
      <c r="B30">
        <f t="shared" si="2"/>
        <v>21</v>
      </c>
      <c r="C30">
        <f t="shared" si="0"/>
        <v>15.878575752169008</v>
      </c>
      <c r="D30" t="str">
        <f t="shared" si="1"/>
        <v/>
      </c>
    </row>
    <row r="31" spans="1:4" x14ac:dyDescent="0.35">
      <c r="A31">
        <v>22</v>
      </c>
      <c r="B31">
        <f t="shared" si="2"/>
        <v>22</v>
      </c>
      <c r="C31">
        <f t="shared" si="0"/>
        <v>17.145413388593727</v>
      </c>
      <c r="D31" t="str">
        <f t="shared" si="1"/>
        <v/>
      </c>
    </row>
    <row r="32" spans="1:4" x14ac:dyDescent="0.35">
      <c r="A32">
        <v>23</v>
      </c>
      <c r="B32">
        <f t="shared" si="2"/>
        <v>23</v>
      </c>
      <c r="C32">
        <f t="shared" si="0"/>
        <v>18.461963126516682</v>
      </c>
      <c r="D32" t="str">
        <f t="shared" si="1"/>
        <v/>
      </c>
    </row>
    <row r="33" spans="1:4" x14ac:dyDescent="0.35">
      <c r="A33">
        <v>24</v>
      </c>
      <c r="B33">
        <f t="shared" si="2"/>
        <v>24</v>
      </c>
      <c r="C33">
        <f t="shared" si="0"/>
        <v>19.827406073550513</v>
      </c>
      <c r="D33" t="str">
        <f t="shared" si="1"/>
        <v/>
      </c>
    </row>
    <row r="34" spans="1:4" x14ac:dyDescent="0.35">
      <c r="A34">
        <v>25</v>
      </c>
      <c r="B34">
        <f t="shared" si="2"/>
        <v>25</v>
      </c>
      <c r="C34">
        <f t="shared" si="0"/>
        <v>21.240842805557648</v>
      </c>
      <c r="D34" t="str">
        <f t="shared" si="1"/>
        <v/>
      </c>
    </row>
    <row r="35" spans="1:4" x14ac:dyDescent="0.35">
      <c r="A35">
        <v>26</v>
      </c>
      <c r="B35">
        <f t="shared" si="2"/>
        <v>26</v>
      </c>
      <c r="C35">
        <f t="shared" si="0"/>
        <v>22.701299875989246</v>
      </c>
      <c r="D35" t="str">
        <f t="shared" si="1"/>
        <v/>
      </c>
    </row>
    <row r="36" spans="1:4" x14ac:dyDescent="0.35">
      <c r="A36">
        <v>27</v>
      </c>
      <c r="B36">
        <f t="shared" si="2"/>
        <v>27</v>
      </c>
      <c r="C36">
        <f t="shared" si="0"/>
        <v>24.207736160804707</v>
      </c>
      <c r="D36" t="str">
        <f t="shared" si="1"/>
        <v/>
      </c>
    </row>
    <row r="37" spans="1:4" x14ac:dyDescent="0.35">
      <c r="A37">
        <v>28</v>
      </c>
      <c r="B37">
        <f t="shared" si="2"/>
        <v>28</v>
      </c>
      <c r="C37">
        <f t="shared" si="0"/>
        <v>25.759049021333389</v>
      </c>
      <c r="D37" t="str">
        <f t="shared" si="1"/>
        <v/>
      </c>
    </row>
    <row r="38" spans="1:4" x14ac:dyDescent="0.35">
      <c r="A38">
        <v>29</v>
      </c>
      <c r="B38">
        <f t="shared" si="2"/>
        <v>29</v>
      </c>
      <c r="C38">
        <f t="shared" si="0"/>
        <v>27.354080270725824</v>
      </c>
      <c r="D38" t="str">
        <f t="shared" si="1"/>
        <v/>
      </c>
    </row>
    <row r="39" spans="1:4" x14ac:dyDescent="0.35">
      <c r="A39">
        <v>30</v>
      </c>
      <c r="B39">
        <f t="shared" si="2"/>
        <v>30</v>
      </c>
      <c r="C39">
        <f t="shared" si="0"/>
        <v>28.991621932568897</v>
      </c>
      <c r="D39" t="str">
        <f t="shared" si="1"/>
        <v/>
      </c>
    </row>
    <row r="40" spans="1:4" x14ac:dyDescent="0.35">
      <c r="A40">
        <v>31</v>
      </c>
      <c r="B40">
        <f t="shared" si="2"/>
        <v>31</v>
      </c>
      <c r="C40">
        <f t="shared" si="0"/>
        <v>30.670421782845828</v>
      </c>
      <c r="D40" t="str">
        <f t="shared" si="1"/>
        <v/>
      </c>
    </row>
    <row r="41" spans="1:4" x14ac:dyDescent="0.35">
      <c r="A41">
        <v>32</v>
      </c>
      <c r="B41">
        <f t="shared" si="2"/>
        <v>32</v>
      </c>
      <c r="C41">
        <f t="shared" si="0"/>
        <v>32.389188668730313</v>
      </c>
      <c r="D41" t="str">
        <f t="shared" si="1"/>
        <v/>
      </c>
    </row>
    <row r="42" spans="1:4" x14ac:dyDescent="0.35">
      <c r="A42">
        <v>33</v>
      </c>
      <c r="B42">
        <f t="shared" si="2"/>
        <v>33</v>
      </c>
      <c r="C42">
        <f t="shared" si="0"/>
        <v>34.146597599748098</v>
      </c>
      <c r="D42" t="str">
        <f t="shared" si="1"/>
        <v/>
      </c>
    </row>
    <row r="43" spans="1:4" x14ac:dyDescent="0.35">
      <c r="A43">
        <v>34</v>
      </c>
      <c r="B43">
        <f t="shared" si="2"/>
        <v>34</v>
      </c>
      <c r="C43">
        <f t="shared" si="0"/>
        <v>35.941294608639659</v>
      </c>
      <c r="D43" t="str">
        <f t="shared" si="1"/>
        <v/>
      </c>
    </row>
    <row r="44" spans="1:4" x14ac:dyDescent="0.35">
      <c r="A44">
        <v>35</v>
      </c>
      <c r="B44">
        <f t="shared" si="2"/>
        <v>35</v>
      </c>
      <c r="C44">
        <f t="shared" si="0"/>
        <v>37.771901380838671</v>
      </c>
      <c r="D44" t="str">
        <f t="shared" si="1"/>
        <v/>
      </c>
    </row>
    <row r="45" spans="1:4" x14ac:dyDescent="0.35">
      <c r="A45">
        <v>36</v>
      </c>
      <c r="B45">
        <f t="shared" si="2"/>
        <v>36</v>
      </c>
      <c r="C45">
        <f t="shared" si="0"/>
        <v>39.637019652861795</v>
      </c>
      <c r="D45" t="str">
        <f t="shared" si="1"/>
        <v/>
      </c>
    </row>
    <row r="46" spans="1:4" x14ac:dyDescent="0.35">
      <c r="A46">
        <v>37</v>
      </c>
      <c r="B46">
        <f t="shared" si="2"/>
        <v>37</v>
      </c>
      <c r="C46">
        <f t="shared" si="0"/>
        <v>41.535235381108926</v>
      </c>
      <c r="D46" t="str">
        <f t="shared" si="1"/>
        <v/>
      </c>
    </row>
    <row r="47" spans="1:4" x14ac:dyDescent="0.35">
      <c r="A47">
        <v>38</v>
      </c>
      <c r="B47">
        <f t="shared" si="2"/>
        <v>38</v>
      </c>
      <c r="C47">
        <f t="shared" si="0"/>
        <v>43.465122683611796</v>
      </c>
      <c r="D47" t="str">
        <f t="shared" si="1"/>
        <v/>
      </c>
    </row>
    <row r="48" spans="1:4" x14ac:dyDescent="0.35">
      <c r="A48">
        <v>39</v>
      </c>
      <c r="B48">
        <f t="shared" si="2"/>
        <v>39</v>
      </c>
      <c r="C48">
        <f t="shared" si="0"/>
        <v>45.425247558162049</v>
      </c>
      <c r="D48" t="str">
        <f t="shared" si="1"/>
        <v/>
      </c>
    </row>
    <row r="49" spans="1:4" x14ac:dyDescent="0.35">
      <c r="A49">
        <v>40</v>
      </c>
      <c r="B49">
        <f t="shared" si="2"/>
        <v>40</v>
      </c>
      <c r="C49">
        <f t="shared" si="0"/>
        <v>47.414171381012601</v>
      </c>
      <c r="D49" t="str">
        <f t="shared" si="1"/>
        <v/>
      </c>
    </row>
    <row r="50" spans="1:4" x14ac:dyDescent="0.35">
      <c r="A50">
        <v>41</v>
      </c>
      <c r="B50">
        <f t="shared" si="2"/>
        <v>41</v>
      </c>
      <c r="C50">
        <f t="shared" si="0"/>
        <v>49.430454190987213</v>
      </c>
      <c r="D50" t="str">
        <f t="shared" si="1"/>
        <v/>
      </c>
    </row>
    <row r="51" spans="1:4" x14ac:dyDescent="0.35">
      <c r="A51">
        <v>42</v>
      </c>
      <c r="B51">
        <f t="shared" si="2"/>
        <v>42</v>
      </c>
      <c r="C51">
        <f t="shared" si="0"/>
        <v>51.472657764372279</v>
      </c>
      <c r="D51" t="str">
        <f t="shared" si="1"/>
        <v/>
      </c>
    </row>
    <row r="52" spans="1:4" x14ac:dyDescent="0.35">
      <c r="A52">
        <v>43</v>
      </c>
      <c r="B52">
        <f t="shared" si="2"/>
        <v>43</v>
      </c>
      <c r="C52">
        <f t="shared" si="0"/>
        <v>53.539348486403277</v>
      </c>
      <c r="D52" t="str">
        <f t="shared" si="1"/>
        <v/>
      </c>
    </row>
    <row r="53" spans="1:4" x14ac:dyDescent="0.35">
      <c r="A53">
        <v>44</v>
      </c>
      <c r="B53">
        <f t="shared" si="2"/>
        <v>44</v>
      </c>
      <c r="C53">
        <f t="shared" si="0"/>
        <v>55.629100025517815</v>
      </c>
      <c r="D53" t="str">
        <f t="shared" si="1"/>
        <v/>
      </c>
    </row>
    <row r="54" spans="1:4" x14ac:dyDescent="0.35">
      <c r="A54">
        <v>45</v>
      </c>
      <c r="B54">
        <f t="shared" si="2"/>
        <v>45</v>
      </c>
      <c r="C54">
        <f t="shared" si="0"/>
        <v>57.740495816825103</v>
      </c>
      <c r="D54" t="str">
        <f t="shared" si="1"/>
        <v/>
      </c>
    </row>
    <row r="55" spans="1:4" x14ac:dyDescent="0.35">
      <c r="A55">
        <v>46</v>
      </c>
      <c r="B55">
        <f t="shared" si="2"/>
        <v>46</v>
      </c>
      <c r="C55">
        <f t="shared" si="0"/>
        <v>59.87213136145516</v>
      </c>
      <c r="D55" t="str">
        <f t="shared" si="1"/>
        <v/>
      </c>
    </row>
    <row r="56" spans="1:4" x14ac:dyDescent="0.35">
      <c r="A56">
        <v>47</v>
      </c>
      <c r="B56">
        <f t="shared" si="2"/>
        <v>47</v>
      </c>
      <c r="C56">
        <f t="shared" si="0"/>
        <v>62.022616348604537</v>
      </c>
      <c r="D56" t="str">
        <f t="shared" si="1"/>
        <v/>
      </c>
    </row>
    <row r="57" spans="1:4" x14ac:dyDescent="0.35">
      <c r="A57">
        <v>48</v>
      </c>
      <c r="B57">
        <f t="shared" si="2"/>
        <v>48</v>
      </c>
      <c r="C57">
        <f t="shared" si="0"/>
        <v>64.190576607194004</v>
      </c>
      <c r="D57" t="str">
        <f t="shared" si="1"/>
        <v/>
      </c>
    </row>
    <row r="58" spans="1:4" x14ac:dyDescent="0.35">
      <c r="A58">
        <v>49</v>
      </c>
      <c r="B58">
        <f t="shared" si="2"/>
        <v>49</v>
      </c>
      <c r="C58">
        <f t="shared" si="0"/>
        <v>66.374655894107804</v>
      </c>
      <c r="D58" t="str">
        <f t="shared" si="1"/>
        <v/>
      </c>
    </row>
    <row r="59" spans="1:4" x14ac:dyDescent="0.35">
      <c r="A59">
        <v>50</v>
      </c>
      <c r="B59">
        <f t="shared" si="2"/>
        <v>50</v>
      </c>
      <c r="C59">
        <f t="shared" si="0"/>
        <v>68.573517525994575</v>
      </c>
      <c r="D59" t="str">
        <f t="shared" si="1"/>
        <v/>
      </c>
    </row>
    <row r="60" spans="1:4" x14ac:dyDescent="0.35">
      <c r="A60">
        <v>51</v>
      </c>
      <c r="B60">
        <f t="shared" si="2"/>
        <v>51</v>
      </c>
      <c r="C60">
        <f t="shared" si="0"/>
        <v>70.785845861588285</v>
      </c>
      <c r="D60" t="str">
        <f t="shared" si="1"/>
        <v/>
      </c>
    </row>
    <row r="61" spans="1:4" x14ac:dyDescent="0.35">
      <c r="A61">
        <v>52</v>
      </c>
      <c r="B61">
        <f t="shared" si="2"/>
        <v>52</v>
      </c>
      <c r="C61">
        <f t="shared" si="0"/>
        <v>73.010347641449798</v>
      </c>
      <c r="D61" t="str">
        <f t="shared" si="1"/>
        <v/>
      </c>
    </row>
    <row r="62" spans="1:4" x14ac:dyDescent="0.35">
      <c r="A62">
        <v>53</v>
      </c>
      <c r="B62">
        <f t="shared" si="2"/>
        <v>53</v>
      </c>
      <c r="C62">
        <f t="shared" si="0"/>
        <v>75.245753191949689</v>
      </c>
      <c r="D62" t="str">
        <f t="shared" si="1"/>
        <v/>
      </c>
    </row>
    <row r="63" spans="1:4" x14ac:dyDescent="0.35">
      <c r="A63">
        <v>54</v>
      </c>
      <c r="B63">
        <f t="shared" si="2"/>
        <v>54</v>
      </c>
      <c r="C63">
        <f t="shared" si="0"/>
        <v>77.490817500206362</v>
      </c>
      <c r="D63" t="str">
        <f t="shared" si="1"/>
        <v/>
      </c>
    </row>
    <row r="64" spans="1:4" x14ac:dyDescent="0.35">
      <c r="A64">
        <v>55</v>
      </c>
      <c r="B64">
        <f t="shared" si="2"/>
        <v>55</v>
      </c>
      <c r="C64">
        <f t="shared" si="0"/>
        <v>79.744321166568781</v>
      </c>
      <c r="D64" t="str">
        <f t="shared" si="1"/>
        <v/>
      </c>
    </row>
    <row r="65" spans="1:4" x14ac:dyDescent="0.35">
      <c r="A65">
        <v>56</v>
      </c>
      <c r="B65">
        <f t="shared" si="2"/>
        <v>56</v>
      </c>
      <c r="C65">
        <f t="shared" si="0"/>
        <v>82.005071241090775</v>
      </c>
      <c r="D65" t="str">
        <f t="shared" si="1"/>
        <v/>
      </c>
    </row>
    <row r="66" spans="1:4" x14ac:dyDescent="0.35">
      <c r="A66">
        <v>57</v>
      </c>
      <c r="B66">
        <f t="shared" si="2"/>
        <v>57</v>
      </c>
      <c r="C66">
        <f t="shared" si="0"/>
        <v>84.271901950289418</v>
      </c>
      <c r="D66" t="str">
        <f t="shared" si="1"/>
        <v/>
      </c>
    </row>
    <row r="67" spans="1:4" x14ac:dyDescent="0.35">
      <c r="A67">
        <v>58</v>
      </c>
      <c r="B67">
        <f t="shared" si="2"/>
        <v>58</v>
      </c>
      <c r="C67">
        <f t="shared" si="0"/>
        <v>86.5436753203102</v>
      </c>
      <c r="D67" t="str">
        <f t="shared" si="1"/>
        <v/>
      </c>
    </row>
    <row r="68" spans="1:4" x14ac:dyDescent="0.35">
      <c r="A68">
        <v>59</v>
      </c>
      <c r="B68">
        <f t="shared" si="2"/>
        <v>59</v>
      </c>
      <c r="C68">
        <f t="shared" si="0"/>
        <v>88.819281702448691</v>
      </c>
      <c r="D68" t="str">
        <f t="shared" si="1"/>
        <v/>
      </c>
    </row>
    <row r="69" spans="1:4" x14ac:dyDescent="0.35">
      <c r="A69">
        <v>60</v>
      </c>
      <c r="B69">
        <f t="shared" si="2"/>
        <v>60</v>
      </c>
      <c r="C69">
        <f t="shared" si="0"/>
        <v>91.097640206791141</v>
      </c>
      <c r="D69" t="str">
        <f t="shared" si="1"/>
        <v/>
      </c>
    </row>
    <row r="70" spans="1:4" x14ac:dyDescent="0.35">
      <c r="A70">
        <v>61</v>
      </c>
      <c r="B70">
        <f t="shared" si="2"/>
        <v>61</v>
      </c>
      <c r="C70">
        <f t="shared" si="0"/>
        <v>93.377699049549577</v>
      </c>
      <c r="D70" t="str">
        <f t="shared" si="1"/>
        <v/>
      </c>
    </row>
    <row r="71" spans="1:4" x14ac:dyDescent="0.35">
      <c r="A71">
        <v>62</v>
      </c>
      <c r="B71">
        <f t="shared" si="2"/>
        <v>62</v>
      </c>
      <c r="C71">
        <f t="shared" si="0"/>
        <v>95.658435819473411</v>
      </c>
      <c r="D71" t="str">
        <f t="shared" si="1"/>
        <v/>
      </c>
    </row>
    <row r="72" spans="1:4" x14ac:dyDescent="0.35">
      <c r="A72">
        <v>63</v>
      </c>
      <c r="B72">
        <f t="shared" si="2"/>
        <v>63</v>
      </c>
      <c r="C72">
        <f t="shared" si="0"/>
        <v>97.938857668522829</v>
      </c>
      <c r="D72" t="str">
        <f t="shared" si="1"/>
        <v/>
      </c>
    </row>
    <row r="73" spans="1:4" x14ac:dyDescent="0.35">
      <c r="A73">
        <v>64</v>
      </c>
      <c r="B73">
        <f t="shared" si="2"/>
        <v>64</v>
      </c>
      <c r="C73">
        <f t="shared" ref="C73:C136" si="3">POWER( POWER($B$4,1/4) * (1 - (1 - POWER($B$5,1/4) / POWER($B$4,1/4)) * EXP(- $B$2 * B73 / (4 * POWER($B$4,1/4)) ) ), 4)</f>
        <v>100.21800143179358</v>
      </c>
      <c r="D73" t="str">
        <f t="shared" ref="D73:D136" si="4">IF(B73=0,"m0 exact","")</f>
        <v/>
      </c>
    </row>
    <row r="74" spans="1:4" x14ac:dyDescent="0.35">
      <c r="A74">
        <v>65</v>
      </c>
      <c r="B74">
        <f t="shared" ref="B74:B137" si="5">B73 + $B$3</f>
        <v>65</v>
      </c>
      <c r="C74">
        <f t="shared" si="3"/>
        <v>102.49493368148504</v>
      </c>
      <c r="D74" t="str">
        <f t="shared" si="4"/>
        <v/>
      </c>
    </row>
    <row r="75" spans="1:4" x14ac:dyDescent="0.35">
      <c r="A75">
        <v>66</v>
      </c>
      <c r="B75">
        <f t="shared" si="5"/>
        <v>66</v>
      </c>
      <c r="C75">
        <f t="shared" si="3"/>
        <v>104.7687507195067</v>
      </c>
      <c r="D75" t="str">
        <f t="shared" si="4"/>
        <v/>
      </c>
    </row>
    <row r="76" spans="1:4" x14ac:dyDescent="0.35">
      <c r="A76">
        <v>67</v>
      </c>
      <c r="B76">
        <f t="shared" si="5"/>
        <v>67</v>
      </c>
      <c r="C76">
        <f t="shared" si="3"/>
        <v>107.03857851312314</v>
      </c>
      <c r="D76" t="str">
        <f t="shared" si="4"/>
        <v/>
      </c>
    </row>
    <row r="77" spans="1:4" x14ac:dyDescent="0.35">
      <c r="A77">
        <v>68</v>
      </c>
      <c r="B77">
        <f t="shared" si="5"/>
        <v>68</v>
      </c>
      <c r="C77">
        <f t="shared" si="3"/>
        <v>109.30357257784695</v>
      </c>
      <c r="D77" t="str">
        <f t="shared" si="4"/>
        <v/>
      </c>
    </row>
    <row r="78" spans="1:4" x14ac:dyDescent="0.35">
      <c r="A78">
        <v>69</v>
      </c>
      <c r="B78">
        <f t="shared" si="5"/>
        <v>69</v>
      </c>
      <c r="C78">
        <f t="shared" si="3"/>
        <v>111.56291781159464</v>
      </c>
      <c r="D78" t="str">
        <f t="shared" si="4"/>
        <v/>
      </c>
    </row>
    <row r="79" spans="1:4" x14ac:dyDescent="0.35">
      <c r="A79">
        <v>70</v>
      </c>
      <c r="B79">
        <f t="shared" si="5"/>
        <v>70</v>
      </c>
      <c r="C79">
        <f t="shared" si="3"/>
        <v>113.81582828393965</v>
      </c>
      <c r="D79" t="str">
        <f t="shared" si="4"/>
        <v/>
      </c>
    </row>
    <row r="80" spans="1:4" x14ac:dyDescent="0.35">
      <c r="A80">
        <v>71</v>
      </c>
      <c r="B80">
        <f t="shared" si="5"/>
        <v>71</v>
      </c>
      <c r="C80">
        <f t="shared" si="3"/>
        <v>116.06154698410978</v>
      </c>
      <c r="D80" t="str">
        <f t="shared" si="4"/>
        <v/>
      </c>
    </row>
    <row r="81" spans="1:4" x14ac:dyDescent="0.35">
      <c r="A81">
        <v>72</v>
      </c>
      <c r="B81">
        <f t="shared" si="5"/>
        <v>72</v>
      </c>
      <c r="C81">
        <f t="shared" si="3"/>
        <v>118.29934553120046</v>
      </c>
      <c r="D81" t="str">
        <f t="shared" si="4"/>
        <v/>
      </c>
    </row>
    <row r="82" spans="1:4" x14ac:dyDescent="0.35">
      <c r="A82">
        <v>73</v>
      </c>
      <c r="B82">
        <f t="shared" si="5"/>
        <v>73</v>
      </c>
      <c r="C82">
        <f t="shared" si="3"/>
        <v>120.52852384989846</v>
      </c>
      <c r="D82" t="str">
        <f t="shared" si="4"/>
        <v/>
      </c>
    </row>
    <row r="83" spans="1:4" x14ac:dyDescent="0.35">
      <c r="A83">
        <v>74</v>
      </c>
      <c r="B83">
        <f t="shared" si="5"/>
        <v>74</v>
      </c>
      <c r="C83">
        <f t="shared" si="3"/>
        <v>122.74840981484554</v>
      </c>
      <c r="D83" t="str">
        <f t="shared" si="4"/>
        <v/>
      </c>
    </row>
    <row r="84" spans="1:4" x14ac:dyDescent="0.35">
      <c r="A84">
        <v>75</v>
      </c>
      <c r="B84">
        <f t="shared" si="5"/>
        <v>75</v>
      </c>
      <c r="C84">
        <f t="shared" si="3"/>
        <v>124.95835886660417</v>
      </c>
      <c r="D84" t="str">
        <f t="shared" si="4"/>
        <v/>
      </c>
    </row>
    <row r="85" spans="1:4" x14ac:dyDescent="0.35">
      <c r="A85">
        <v>76</v>
      </c>
      <c r="B85">
        <f t="shared" si="5"/>
        <v>76</v>
      </c>
      <c r="C85">
        <f t="shared" si="3"/>
        <v>127.15775360202846</v>
      </c>
      <c r="D85" t="str">
        <f t="shared" si="4"/>
        <v/>
      </c>
    </row>
    <row r="86" spans="1:4" x14ac:dyDescent="0.35">
      <c r="A86">
        <v>77</v>
      </c>
      <c r="B86">
        <f t="shared" si="5"/>
        <v>77</v>
      </c>
      <c r="C86">
        <f t="shared" si="3"/>
        <v>129.34600334169133</v>
      </c>
      <c r="D86" t="str">
        <f t="shared" si="4"/>
        <v/>
      </c>
    </row>
    <row r="87" spans="1:4" x14ac:dyDescent="0.35">
      <c r="A87">
        <v>78</v>
      </c>
      <c r="B87">
        <f t="shared" si="5"/>
        <v>78</v>
      </c>
      <c r="C87">
        <f t="shared" si="3"/>
        <v>131.52254367686962</v>
      </c>
      <c r="D87" t="str">
        <f t="shared" si="4"/>
        <v/>
      </c>
    </row>
    <row r="88" spans="1:4" x14ac:dyDescent="0.35">
      <c r="A88">
        <v>79</v>
      </c>
      <c r="B88">
        <f t="shared" si="5"/>
        <v>79</v>
      </c>
      <c r="C88">
        <f t="shared" si="3"/>
        <v>133.68683599844303</v>
      </c>
      <c r="D88" t="str">
        <f t="shared" si="4"/>
        <v/>
      </c>
    </row>
    <row r="89" spans="1:4" x14ac:dyDescent="0.35">
      <c r="A89">
        <v>80</v>
      </c>
      <c r="B89">
        <f t="shared" si="5"/>
        <v>80</v>
      </c>
      <c r="C89">
        <f t="shared" si="3"/>
        <v>135.83836700992967</v>
      </c>
      <c r="D89" t="str">
        <f t="shared" si="4"/>
        <v/>
      </c>
    </row>
    <row r="90" spans="1:4" x14ac:dyDescent="0.35">
      <c r="A90">
        <v>81</v>
      </c>
      <c r="B90">
        <f t="shared" si="5"/>
        <v>81</v>
      </c>
      <c r="C90">
        <f t="shared" si="3"/>
        <v>137.97664822674338</v>
      </c>
      <c r="D90" t="str">
        <f t="shared" si="4"/>
        <v/>
      </c>
    </row>
    <row r="91" spans="1:4" x14ac:dyDescent="0.35">
      <c r="A91">
        <v>82</v>
      </c>
      <c r="B91">
        <f t="shared" si="5"/>
        <v>82</v>
      </c>
      <c r="C91">
        <f t="shared" si="3"/>
        <v>140.10121546363393</v>
      </c>
      <c r="D91" t="str">
        <f t="shared" si="4"/>
        <v/>
      </c>
    </row>
    <row r="92" spans="1:4" x14ac:dyDescent="0.35">
      <c r="A92">
        <v>83</v>
      </c>
      <c r="B92">
        <f t="shared" si="5"/>
        <v>83</v>
      </c>
      <c r="C92">
        <f t="shared" si="3"/>
        <v>142.21162831214687</v>
      </c>
      <c r="D92" t="str">
        <f t="shared" si="4"/>
        <v/>
      </c>
    </row>
    <row r="93" spans="1:4" x14ac:dyDescent="0.35">
      <c r="A93">
        <v>84</v>
      </c>
      <c r="B93">
        <f t="shared" si="5"/>
        <v>84</v>
      </c>
      <c r="C93">
        <f t="shared" si="3"/>
        <v>144.30746960982432</v>
      </c>
      <c r="D93" t="str">
        <f t="shared" si="4"/>
        <v/>
      </c>
    </row>
    <row r="94" spans="1:4" x14ac:dyDescent="0.35">
      <c r="A94">
        <v>85</v>
      </c>
      <c r="B94">
        <f t="shared" si="5"/>
        <v>85</v>
      </c>
      <c r="C94">
        <f t="shared" si="3"/>
        <v>146.38834490275579</v>
      </c>
      <c r="D94" t="str">
        <f t="shared" si="4"/>
        <v/>
      </c>
    </row>
    <row r="95" spans="1:4" x14ac:dyDescent="0.35">
      <c r="A95">
        <v>86</v>
      </c>
      <c r="B95">
        <f t="shared" si="5"/>
        <v>86</v>
      </c>
      <c r="C95">
        <f t="shared" si="3"/>
        <v>148.45388190297822</v>
      </c>
      <c r="D95" t="str">
        <f t="shared" si="4"/>
        <v/>
      </c>
    </row>
    <row r="96" spans="1:4" x14ac:dyDescent="0.35">
      <c r="A96">
        <v>87</v>
      </c>
      <c r="B96">
        <f t="shared" si="5"/>
        <v>87</v>
      </c>
      <c r="C96">
        <f t="shared" si="3"/>
        <v>150.50372994212802</v>
      </c>
      <c r="D96" t="str">
        <f t="shared" si="4"/>
        <v/>
      </c>
    </row>
    <row r="97" spans="1:4" x14ac:dyDescent="0.35">
      <c r="A97">
        <v>88</v>
      </c>
      <c r="B97">
        <f t="shared" si="5"/>
        <v>88</v>
      </c>
      <c r="C97">
        <f t="shared" si="3"/>
        <v>152.53755942264576</v>
      </c>
      <c r="D97" t="str">
        <f t="shared" si="4"/>
        <v/>
      </c>
    </row>
    <row r="98" spans="1:4" x14ac:dyDescent="0.35">
      <c r="A98">
        <v>89</v>
      </c>
      <c r="B98">
        <f t="shared" si="5"/>
        <v>89</v>
      </c>
      <c r="C98">
        <f t="shared" si="3"/>
        <v>154.55506126774068</v>
      </c>
      <c r="D98" t="str">
        <f t="shared" si="4"/>
        <v/>
      </c>
    </row>
    <row r="99" spans="1:4" x14ac:dyDescent="0.35">
      <c r="A99">
        <v>90</v>
      </c>
      <c r="B99">
        <f t="shared" si="5"/>
        <v>90</v>
      </c>
      <c r="C99">
        <f t="shared" si="3"/>
        <v>156.55594637124022</v>
      </c>
      <c r="D99" t="str">
        <f t="shared" si="4"/>
        <v/>
      </c>
    </row>
    <row r="100" spans="1:4" x14ac:dyDescent="0.35">
      <c r="A100">
        <v>91</v>
      </c>
      <c r="B100">
        <f t="shared" si="5"/>
        <v>91</v>
      </c>
      <c r="C100">
        <f t="shared" si="3"/>
        <v>158.5399450483568</v>
      </c>
      <c r="D100" t="str">
        <f t="shared" si="4"/>
        <v/>
      </c>
    </row>
    <row r="101" spans="1:4" x14ac:dyDescent="0.35">
      <c r="A101">
        <v>92</v>
      </c>
      <c r="B101">
        <f t="shared" si="5"/>
        <v>92</v>
      </c>
      <c r="C101">
        <f t="shared" si="3"/>
        <v>160.50680648833381</v>
      </c>
      <c r="D101" t="str">
        <f t="shared" si="4"/>
        <v/>
      </c>
    </row>
    <row r="102" spans="1:4" x14ac:dyDescent="0.35">
      <c r="A102">
        <v>93</v>
      </c>
      <c r="B102">
        <f t="shared" si="5"/>
        <v>93</v>
      </c>
      <c r="C102">
        <f t="shared" si="3"/>
        <v>162.45629820984928</v>
      </c>
      <c r="D102" t="str">
        <f t="shared" si="4"/>
        <v/>
      </c>
    </row>
    <row r="103" spans="1:4" x14ac:dyDescent="0.35">
      <c r="A103">
        <v>94</v>
      </c>
      <c r="B103">
        <f t="shared" si="5"/>
        <v>94</v>
      </c>
      <c r="C103">
        <f t="shared" si="3"/>
        <v>164.38820551998717</v>
      </c>
      <c r="D103" t="str">
        <f t="shared" si="4"/>
        <v/>
      </c>
    </row>
    <row r="104" spans="1:4" x14ac:dyDescent="0.35">
      <c r="A104">
        <v>95</v>
      </c>
      <c r="B104">
        <f t="shared" si="5"/>
        <v>95</v>
      </c>
      <c r="C104">
        <f t="shared" si="3"/>
        <v>166.30233097752151</v>
      </c>
      <c r="D104" t="str">
        <f t="shared" si="4"/>
        <v/>
      </c>
    </row>
    <row r="105" spans="1:4" x14ac:dyDescent="0.35">
      <c r="A105">
        <v>96</v>
      </c>
      <c r="B105">
        <f t="shared" si="5"/>
        <v>96</v>
      </c>
      <c r="C105">
        <f t="shared" si="3"/>
        <v>168.19849386118747</v>
      </c>
      <c r="D105" t="str">
        <f t="shared" si="4"/>
        <v/>
      </c>
    </row>
    <row r="106" spans="1:4" x14ac:dyDescent="0.35">
      <c r="A106">
        <v>97</v>
      </c>
      <c r="B106">
        <f t="shared" si="5"/>
        <v>97</v>
      </c>
      <c r="C106">
        <f t="shared" si="3"/>
        <v>170.0765296435597</v>
      </c>
      <c r="D106" t="str">
        <f t="shared" si="4"/>
        <v/>
      </c>
    </row>
    <row r="107" spans="1:4" x14ac:dyDescent="0.35">
      <c r="A107">
        <v>98</v>
      </c>
      <c r="B107">
        <f t="shared" si="5"/>
        <v>98</v>
      </c>
      <c r="C107">
        <f t="shared" si="3"/>
        <v>171.93628947109625</v>
      </c>
      <c r="D107" t="str">
        <f t="shared" si="4"/>
        <v/>
      </c>
    </row>
    <row r="108" spans="1:4" x14ac:dyDescent="0.35">
      <c r="A108">
        <v>99</v>
      </c>
      <c r="B108">
        <f t="shared" si="5"/>
        <v>99</v>
      </c>
      <c r="C108">
        <f t="shared" si="3"/>
        <v>173.7776396508547</v>
      </c>
      <c r="D108" t="str">
        <f t="shared" si="4"/>
        <v/>
      </c>
    </row>
    <row r="109" spans="1:4" x14ac:dyDescent="0.35">
      <c r="A109">
        <v>100</v>
      </c>
      <c r="B109">
        <f t="shared" si="5"/>
        <v>100</v>
      </c>
      <c r="C109">
        <f t="shared" si="3"/>
        <v>175.60046114433572</v>
      </c>
      <c r="D109" t="str">
        <f t="shared" si="4"/>
        <v/>
      </c>
    </row>
    <row r="110" spans="1:4" x14ac:dyDescent="0.35">
      <c r="A110">
        <v>101</v>
      </c>
      <c r="B110">
        <f t="shared" si="5"/>
        <v>101</v>
      </c>
      <c r="C110">
        <f t="shared" si="3"/>
        <v>177.40464906886208</v>
      </c>
      <c r="D110" t="str">
        <f t="shared" si="4"/>
        <v/>
      </c>
    </row>
    <row r="111" spans="1:4" x14ac:dyDescent="0.35">
      <c r="A111">
        <v>102</v>
      </c>
      <c r="B111">
        <f t="shared" si="5"/>
        <v>102</v>
      </c>
      <c r="C111">
        <f t="shared" si="3"/>
        <v>179.1901122068536</v>
      </c>
      <c r="D111" t="str">
        <f t="shared" si="4"/>
        <v/>
      </c>
    </row>
    <row r="112" spans="1:4" x14ac:dyDescent="0.35">
      <c r="A112">
        <v>103</v>
      </c>
      <c r="B112">
        <f t="shared" si="5"/>
        <v>103</v>
      </c>
      <c r="C112">
        <f t="shared" si="3"/>
        <v>180.95677252331976</v>
      </c>
      <c r="D112" t="str">
        <f t="shared" si="4"/>
        <v/>
      </c>
    </row>
    <row r="113" spans="1:4" x14ac:dyDescent="0.35">
      <c r="A113">
        <v>104</v>
      </c>
      <c r="B113">
        <f t="shared" si="5"/>
        <v>104</v>
      </c>
      <c r="C113">
        <f t="shared" si="3"/>
        <v>182.70456469185032</v>
      </c>
      <c r="D113" t="str">
        <f t="shared" si="4"/>
        <v/>
      </c>
    </row>
    <row r="114" spans="1:4" x14ac:dyDescent="0.35">
      <c r="A114">
        <v>105</v>
      </c>
      <c r="B114">
        <f t="shared" si="5"/>
        <v>105</v>
      </c>
      <c r="C114">
        <f t="shared" si="3"/>
        <v>184.43343562934683</v>
      </c>
      <c r="D114" t="str">
        <f t="shared" si="4"/>
        <v/>
      </c>
    </row>
    <row r="115" spans="1:4" x14ac:dyDescent="0.35">
      <c r="A115">
        <v>106</v>
      </c>
      <c r="B115">
        <f t="shared" si="5"/>
        <v>106</v>
      </c>
      <c r="C115">
        <f t="shared" si="3"/>
        <v>186.14334403970292</v>
      </c>
      <c r="D115" t="str">
        <f t="shared" si="4"/>
        <v/>
      </c>
    </row>
    <row r="116" spans="1:4" x14ac:dyDescent="0.35">
      <c r="A116">
        <v>107</v>
      </c>
      <c r="B116">
        <f t="shared" si="5"/>
        <v>107</v>
      </c>
      <c r="C116">
        <f t="shared" si="3"/>
        <v>187.83425996661126</v>
      </c>
      <c r="D116" t="str">
        <f t="shared" si="4"/>
        <v/>
      </c>
    </row>
    <row r="117" spans="1:4" x14ac:dyDescent="0.35">
      <c r="A117">
        <v>108</v>
      </c>
      <c r="B117">
        <f t="shared" si="5"/>
        <v>108</v>
      </c>
      <c r="C117">
        <f t="shared" si="3"/>
        <v>189.50616435564092</v>
      </c>
      <c r="D117" t="str">
        <f t="shared" si="4"/>
        <v/>
      </c>
    </row>
    <row r="118" spans="1:4" x14ac:dyDescent="0.35">
      <c r="A118">
        <v>109</v>
      </c>
      <c r="B118">
        <f t="shared" si="5"/>
        <v>109</v>
      </c>
      <c r="C118">
        <f t="shared" si="3"/>
        <v>191.1590486257048</v>
      </c>
      <c r="D118" t="str">
        <f t="shared" si="4"/>
        <v/>
      </c>
    </row>
    <row r="119" spans="1:4" x14ac:dyDescent="0.35">
      <c r="A119">
        <v>110</v>
      </c>
      <c r="B119">
        <f t="shared" si="5"/>
        <v>110</v>
      </c>
      <c r="C119">
        <f t="shared" si="3"/>
        <v>192.79291425000596</v>
      </c>
      <c r="D119" t="str">
        <f t="shared" si="4"/>
        <v/>
      </c>
    </row>
    <row r="120" spans="1:4" x14ac:dyDescent="0.35">
      <c r="A120">
        <v>111</v>
      </c>
      <c r="B120">
        <f t="shared" si="5"/>
        <v>111</v>
      </c>
      <c r="C120">
        <f t="shared" si="3"/>
        <v>194.40777234653211</v>
      </c>
      <c r="D120" t="str">
        <f t="shared" si="4"/>
        <v/>
      </c>
    </row>
    <row r="121" spans="1:4" x14ac:dyDescent="0.35">
      <c r="A121">
        <v>112</v>
      </c>
      <c r="B121">
        <f t="shared" si="5"/>
        <v>112</v>
      </c>
      <c r="C121">
        <f t="shared" si="3"/>
        <v>196.00364327814009</v>
      </c>
      <c r="D121" t="str">
        <f t="shared" si="4"/>
        <v/>
      </c>
    </row>
    <row r="122" spans="1:4" x14ac:dyDescent="0.35">
      <c r="A122">
        <v>113</v>
      </c>
      <c r="B122">
        <f t="shared" si="5"/>
        <v>113</v>
      </c>
      <c r="C122">
        <f t="shared" si="3"/>
        <v>197.58055626225504</v>
      </c>
      <c r="D122" t="str">
        <f t="shared" si="4"/>
        <v/>
      </c>
    </row>
    <row r="123" spans="1:4" x14ac:dyDescent="0.35">
      <c r="A123">
        <v>114</v>
      </c>
      <c r="B123">
        <f t="shared" si="5"/>
        <v>114</v>
      </c>
      <c r="C123">
        <f t="shared" si="3"/>
        <v>199.13854899018736</v>
      </c>
      <c r="D123" t="str">
        <f t="shared" si="4"/>
        <v/>
      </c>
    </row>
    <row r="124" spans="1:4" x14ac:dyDescent="0.35">
      <c r="A124">
        <v>115</v>
      </c>
      <c r="B124">
        <f t="shared" si="5"/>
        <v>115</v>
      </c>
      <c r="C124">
        <f t="shared" si="3"/>
        <v>200.67766725605287</v>
      </c>
      <c r="D124" t="str">
        <f t="shared" si="4"/>
        <v/>
      </c>
    </row>
    <row r="125" spans="1:4" x14ac:dyDescent="0.35">
      <c r="A125">
        <v>116</v>
      </c>
      <c r="B125">
        <f t="shared" si="5"/>
        <v>116</v>
      </c>
      <c r="C125">
        <f t="shared" si="3"/>
        <v>202.19796459526572</v>
      </c>
      <c r="D125" t="str">
        <f t="shared" si="4"/>
        <v/>
      </c>
    </row>
    <row r="126" spans="1:4" x14ac:dyDescent="0.35">
      <c r="A126">
        <v>117</v>
      </c>
      <c r="B126">
        <f t="shared" si="5"/>
        <v>117</v>
      </c>
      <c r="C126">
        <f t="shared" si="3"/>
        <v>203.69950193255815</v>
      </c>
      <c r="D126" t="str">
        <f t="shared" si="4"/>
        <v/>
      </c>
    </row>
    <row r="127" spans="1:4" x14ac:dyDescent="0.35">
      <c r="A127">
        <v>118</v>
      </c>
      <c r="B127">
        <f t="shared" si="5"/>
        <v>118</v>
      </c>
      <c r="C127">
        <f t="shared" si="3"/>
        <v>205.18234723946659</v>
      </c>
      <c r="D127" t="str">
        <f t="shared" si="4"/>
        <v/>
      </c>
    </row>
    <row r="128" spans="1:4" x14ac:dyDescent="0.35">
      <c r="A128">
        <v>119</v>
      </c>
      <c r="B128">
        <f t="shared" si="5"/>
        <v>119</v>
      </c>
      <c r="C128">
        <f t="shared" si="3"/>
        <v>206.6465752012125</v>
      </c>
      <c r="D128" t="str">
        <f t="shared" si="4"/>
        <v/>
      </c>
    </row>
    <row r="129" spans="1:4" x14ac:dyDescent="0.35">
      <c r="A129">
        <v>120</v>
      </c>
      <c r="B129">
        <f t="shared" si="5"/>
        <v>120</v>
      </c>
      <c r="C129">
        <f t="shared" si="3"/>
        <v>208.09226689289258</v>
      </c>
      <c r="D129" t="str">
        <f t="shared" si="4"/>
        <v/>
      </c>
    </row>
    <row r="130" spans="1:4" x14ac:dyDescent="0.35">
      <c r="A130">
        <v>121</v>
      </c>
      <c r="B130">
        <f t="shared" si="5"/>
        <v>121</v>
      </c>
      <c r="C130">
        <f t="shared" si="3"/>
        <v>209.51950946488407</v>
      </c>
      <c r="D130" t="str">
        <f t="shared" si="4"/>
        <v/>
      </c>
    </row>
    <row r="131" spans="1:4" x14ac:dyDescent="0.35">
      <c r="A131">
        <v>122</v>
      </c>
      <c r="B131">
        <f t="shared" si="5"/>
        <v>122</v>
      </c>
      <c r="C131">
        <f t="shared" si="3"/>
        <v>210.92839583736128</v>
      </c>
      <c r="D131" t="str">
        <f t="shared" si="4"/>
        <v/>
      </c>
    </row>
    <row r="132" spans="1:4" x14ac:dyDescent="0.35">
      <c r="A132">
        <v>123</v>
      </c>
      <c r="B132">
        <f t="shared" si="5"/>
        <v>123</v>
      </c>
      <c r="C132">
        <f t="shared" si="3"/>
        <v>212.31902440381</v>
      </c>
      <c r="D132" t="str">
        <f t="shared" si="4"/>
        <v/>
      </c>
    </row>
    <row r="133" spans="1:4" x14ac:dyDescent="0.35">
      <c r="A133">
        <v>124</v>
      </c>
      <c r="B133">
        <f t="shared" si="5"/>
        <v>124</v>
      </c>
      <c r="C133">
        <f t="shared" si="3"/>
        <v>213.69149874341738</v>
      </c>
      <c r="D133" t="str">
        <f t="shared" si="4"/>
        <v/>
      </c>
    </row>
    <row r="134" spans="1:4" x14ac:dyDescent="0.35">
      <c r="A134">
        <v>125</v>
      </c>
      <c r="B134">
        <f t="shared" si="5"/>
        <v>125</v>
      </c>
      <c r="C134">
        <f t="shared" si="3"/>
        <v>215.04592734221467</v>
      </c>
      <c r="D134" t="str">
        <f t="shared" si="4"/>
        <v/>
      </c>
    </row>
    <row r="135" spans="1:4" x14ac:dyDescent="0.35">
      <c r="A135">
        <v>126</v>
      </c>
      <c r="B135">
        <f t="shared" si="5"/>
        <v>126</v>
      </c>
      <c r="C135">
        <f t="shared" si="3"/>
        <v>216.38242332283184</v>
      </c>
      <c r="D135" t="str">
        <f t="shared" si="4"/>
        <v/>
      </c>
    </row>
    <row r="136" spans="1:4" x14ac:dyDescent="0.35">
      <c r="A136">
        <v>127</v>
      </c>
      <c r="B136">
        <f t="shared" si="5"/>
        <v>127</v>
      </c>
      <c r="C136">
        <f t="shared" si="3"/>
        <v>217.70110418273225</v>
      </c>
      <c r="D136" t="str">
        <f t="shared" si="4"/>
        <v/>
      </c>
    </row>
    <row r="137" spans="1:4" x14ac:dyDescent="0.35">
      <c r="A137">
        <v>128</v>
      </c>
      <c r="B137">
        <f t="shared" si="5"/>
        <v>128</v>
      </c>
      <c r="C137">
        <f t="shared" ref="C137:C200" si="6">POWER( POWER($B$4,1/4) * (1 - (1 - POWER($B$5,1/4) / POWER($B$4,1/4)) * EXP(- $B$2 * B137 / (4 * POWER($B$4,1/4)) ) ), 4)</f>
        <v>219.00209154077757</v>
      </c>
      <c r="D137" t="str">
        <f t="shared" ref="D137:D200" si="7">IF(B137=0,"m0 exact","")</f>
        <v/>
      </c>
    </row>
    <row r="138" spans="1:4" x14ac:dyDescent="0.35">
      <c r="A138">
        <v>129</v>
      </c>
      <c r="B138">
        <f t="shared" ref="B138:B201" si="8">B137 + $B$3</f>
        <v>129</v>
      </c>
      <c r="C138">
        <f t="shared" si="6"/>
        <v>220.28551089197921</v>
      </c>
      <c r="D138" t="str">
        <f t="shared" si="7"/>
        <v/>
      </c>
    </row>
    <row r="139" spans="1:4" x14ac:dyDescent="0.35">
      <c r="A139">
        <v>130</v>
      </c>
      <c r="B139">
        <f t="shared" si="8"/>
        <v>130</v>
      </c>
      <c r="C139">
        <f t="shared" si="6"/>
        <v>221.55149137028232</v>
      </c>
      <c r="D139" t="str">
        <f t="shared" si="7"/>
        <v/>
      </c>
    </row>
    <row r="140" spans="1:4" x14ac:dyDescent="0.35">
      <c r="A140">
        <v>131</v>
      </c>
      <c r="B140">
        <f t="shared" si="8"/>
        <v>131</v>
      </c>
      <c r="C140">
        <f t="shared" si="6"/>
        <v>222.80016551922861</v>
      </c>
      <c r="D140" t="str">
        <f t="shared" si="7"/>
        <v/>
      </c>
    </row>
    <row r="141" spans="1:4" x14ac:dyDescent="0.35">
      <c r="A141">
        <v>132</v>
      </c>
      <c r="B141">
        <f t="shared" si="8"/>
        <v>132</v>
      </c>
      <c r="C141">
        <f t="shared" si="6"/>
        <v>224.03166907034145</v>
      </c>
      <c r="D141" t="str">
        <f t="shared" si="7"/>
        <v/>
      </c>
    </row>
    <row r="142" spans="1:4" x14ac:dyDescent="0.35">
      <c r="A142">
        <v>133</v>
      </c>
      <c r="B142">
        <f t="shared" si="8"/>
        <v>133</v>
      </c>
      <c r="C142">
        <f t="shared" si="6"/>
        <v>225.24614072907372</v>
      </c>
      <c r="D142" t="str">
        <f t="shared" si="7"/>
        <v/>
      </c>
    </row>
    <row r="143" spans="1:4" x14ac:dyDescent="0.35">
      <c r="A143">
        <v>134</v>
      </c>
      <c r="B143">
        <f t="shared" si="8"/>
        <v>134</v>
      </c>
      <c r="C143">
        <f t="shared" si="6"/>
        <v>226.44372196815863</v>
      </c>
      <c r="D143" t="str">
        <f t="shared" si="7"/>
        <v/>
      </c>
    </row>
    <row r="144" spans="1:4" x14ac:dyDescent="0.35">
      <c r="A144">
        <v>135</v>
      </c>
      <c r="B144">
        <f t="shared" si="8"/>
        <v>135</v>
      </c>
      <c r="C144">
        <f t="shared" si="6"/>
        <v>227.62455682820246</v>
      </c>
      <c r="D144" t="str">
        <f t="shared" si="7"/>
        <v/>
      </c>
    </row>
    <row r="145" spans="1:4" x14ac:dyDescent="0.35">
      <c r="A145">
        <v>136</v>
      </c>
      <c r="B145">
        <f t="shared" si="8"/>
        <v>136</v>
      </c>
      <c r="C145">
        <f t="shared" si="6"/>
        <v>228.78879172535426</v>
      </c>
      <c r="D145" t="str">
        <f t="shared" si="7"/>
        <v/>
      </c>
    </row>
    <row r="146" spans="1:4" x14ac:dyDescent="0.35">
      <c r="A146">
        <v>137</v>
      </c>
      <c r="B146">
        <f t="shared" si="8"/>
        <v>137</v>
      </c>
      <c r="C146">
        <f t="shared" si="6"/>
        <v>229.93657526589476</v>
      </c>
      <c r="D146" t="str">
        <f t="shared" si="7"/>
        <v/>
      </c>
    </row>
    <row r="147" spans="1:4" x14ac:dyDescent="0.35">
      <c r="A147">
        <v>138</v>
      </c>
      <c r="B147">
        <f t="shared" si="8"/>
        <v>138</v>
      </c>
      <c r="C147">
        <f t="shared" si="6"/>
        <v>231.06805806757654</v>
      </c>
      <c r="D147" t="str">
        <f t="shared" si="7"/>
        <v/>
      </c>
    </row>
    <row r="148" spans="1:4" x14ac:dyDescent="0.35">
      <c r="A148">
        <v>139</v>
      </c>
      <c r="B148">
        <f t="shared" si="8"/>
        <v>139</v>
      </c>
      <c r="C148">
        <f t="shared" si="6"/>
        <v>232.18339258755756</v>
      </c>
      <c r="D148" t="str">
        <f t="shared" si="7"/>
        <v/>
      </c>
    </row>
    <row r="149" spans="1:4" x14ac:dyDescent="0.35">
      <c r="A149">
        <v>140</v>
      </c>
      <c r="B149">
        <f t="shared" si="8"/>
        <v>140</v>
      </c>
      <c r="C149">
        <f t="shared" si="6"/>
        <v>233.2827329567624</v>
      </c>
      <c r="D149" t="str">
        <f t="shared" si="7"/>
        <v/>
      </c>
    </row>
    <row r="150" spans="1:4" x14ac:dyDescent="0.35">
      <c r="A150">
        <v>141</v>
      </c>
      <c r="B150">
        <f t="shared" si="8"/>
        <v>141</v>
      </c>
      <c r="C150">
        <f t="shared" si="6"/>
        <v>234.36623482051331</v>
      </c>
      <c r="D150" t="str">
        <f t="shared" si="7"/>
        <v/>
      </c>
    </row>
    <row r="151" spans="1:4" x14ac:dyDescent="0.35">
      <c r="A151">
        <v>142</v>
      </c>
      <c r="B151">
        <f t="shared" si="8"/>
        <v>142</v>
      </c>
      <c r="C151">
        <f t="shared" si="6"/>
        <v>235.4340551852691</v>
      </c>
      <c r="D151" t="str">
        <f t="shared" si="7"/>
        <v/>
      </c>
    </row>
    <row r="152" spans="1:4" x14ac:dyDescent="0.35">
      <c r="A152">
        <v>143</v>
      </c>
      <c r="B152">
        <f t="shared" si="8"/>
        <v>143</v>
      </c>
      <c r="C152">
        <f t="shared" si="6"/>
        <v>236.48635227131291</v>
      </c>
      <c r="D152" t="str">
        <f t="shared" si="7"/>
        <v/>
      </c>
    </row>
    <row r="153" spans="1:4" x14ac:dyDescent="0.35">
      <c r="A153">
        <v>144</v>
      </c>
      <c r="B153">
        <f t="shared" si="8"/>
        <v>144</v>
      </c>
      <c r="C153">
        <f t="shared" si="6"/>
        <v>237.52328537123222</v>
      </c>
      <c r="D153" t="str">
        <f t="shared" si="7"/>
        <v/>
      </c>
    </row>
    <row r="154" spans="1:4" x14ac:dyDescent="0.35">
      <c r="A154">
        <v>145</v>
      </c>
      <c r="B154">
        <f t="shared" si="8"/>
        <v>145</v>
      </c>
      <c r="C154">
        <f t="shared" si="6"/>
        <v>238.54501471403594</v>
      </c>
      <c r="D154" t="str">
        <f t="shared" si="7"/>
        <v/>
      </c>
    </row>
    <row r="155" spans="1:4" x14ac:dyDescent="0.35">
      <c r="A155">
        <v>146</v>
      </c>
      <c r="B155">
        <f t="shared" si="8"/>
        <v>146</v>
      </c>
      <c r="C155">
        <f t="shared" si="6"/>
        <v>239.55170133475167</v>
      </c>
      <c r="D155" t="str">
        <f t="shared" si="7"/>
        <v/>
      </c>
    </row>
    <row r="156" spans="1:4" x14ac:dyDescent="0.35">
      <c r="A156">
        <v>147</v>
      </c>
      <c r="B156">
        <f t="shared" si="8"/>
        <v>147</v>
      </c>
      <c r="C156">
        <f t="shared" si="6"/>
        <v>240.54350694935377</v>
      </c>
      <c r="D156" t="str">
        <f t="shared" si="7"/>
        <v/>
      </c>
    </row>
    <row r="157" spans="1:4" x14ac:dyDescent="0.35">
      <c r="A157">
        <v>148</v>
      </c>
      <c r="B157">
        <f t="shared" si="8"/>
        <v>148</v>
      </c>
      <c r="C157">
        <f t="shared" si="6"/>
        <v>241.52059383487054</v>
      </c>
      <c r="D157" t="str">
        <f t="shared" si="7"/>
        <v/>
      </c>
    </row>
    <row r="158" spans="1:4" x14ac:dyDescent="0.35">
      <c r="A158">
        <v>149</v>
      </c>
      <c r="B158">
        <f t="shared" si="8"/>
        <v>149</v>
      </c>
      <c r="C158">
        <f t="shared" si="6"/>
        <v>242.483124714523</v>
      </c>
      <c r="D158" t="str">
        <f t="shared" si="7"/>
        <v/>
      </c>
    </row>
    <row r="159" spans="1:4" x14ac:dyDescent="0.35">
      <c r="A159">
        <v>150</v>
      </c>
      <c r="B159">
        <f t="shared" si="8"/>
        <v>150</v>
      </c>
      <c r="C159">
        <f t="shared" si="6"/>
        <v>243.43126264774835</v>
      </c>
      <c r="D159" t="str">
        <f t="shared" si="7"/>
        <v/>
      </c>
    </row>
    <row r="160" spans="1:4" x14ac:dyDescent="0.35">
      <c r="A160">
        <v>151</v>
      </c>
      <c r="B160">
        <f t="shared" si="8"/>
        <v>151</v>
      </c>
      <c r="C160">
        <f t="shared" si="6"/>
        <v>244.36517092496655</v>
      </c>
      <c r="D160" t="str">
        <f t="shared" si="7"/>
        <v/>
      </c>
    </row>
    <row r="161" spans="1:4" x14ac:dyDescent="0.35">
      <c r="A161">
        <v>152</v>
      </c>
      <c r="B161">
        <f t="shared" si="8"/>
        <v>152</v>
      </c>
      <c r="C161">
        <f t="shared" si="6"/>
        <v>245.28501296694603</v>
      </c>
      <c r="D161" t="str">
        <f t="shared" si="7"/>
        <v/>
      </c>
    </row>
    <row r="162" spans="1:4" x14ac:dyDescent="0.35">
      <c r="A162">
        <v>153</v>
      </c>
      <c r="B162">
        <f t="shared" si="8"/>
        <v>153</v>
      </c>
      <c r="C162">
        <f t="shared" si="6"/>
        <v>246.19095222863302</v>
      </c>
      <c r="D162" t="str">
        <f t="shared" si="7"/>
        <v/>
      </c>
    </row>
    <row r="163" spans="1:4" x14ac:dyDescent="0.35">
      <c r="A163">
        <v>154</v>
      </c>
      <c r="B163">
        <f t="shared" si="8"/>
        <v>154</v>
      </c>
      <c r="C163">
        <f t="shared" si="6"/>
        <v>247.08315210730473</v>
      </c>
      <c r="D163" t="str">
        <f t="shared" si="7"/>
        <v/>
      </c>
    </row>
    <row r="164" spans="1:4" x14ac:dyDescent="0.35">
      <c r="A164">
        <v>155</v>
      </c>
      <c r="B164">
        <f t="shared" si="8"/>
        <v>155</v>
      </c>
      <c r="C164">
        <f t="shared" si="6"/>
        <v>247.96177585491671</v>
      </c>
      <c r="D164" t="str">
        <f t="shared" si="7"/>
        <v/>
      </c>
    </row>
    <row r="165" spans="1:4" x14ac:dyDescent="0.35">
      <c r="A165">
        <v>156</v>
      </c>
      <c r="B165">
        <f t="shared" si="8"/>
        <v>156</v>
      </c>
      <c r="C165">
        <f t="shared" si="6"/>
        <v>248.82698649451001</v>
      </c>
      <c r="D165" t="str">
        <f t="shared" si="7"/>
        <v/>
      </c>
    </row>
    <row r="166" spans="1:4" x14ac:dyDescent="0.35">
      <c r="A166">
        <v>157</v>
      </c>
      <c r="B166">
        <f t="shared" si="8"/>
        <v>157</v>
      </c>
      <c r="C166">
        <f t="shared" si="6"/>
        <v>249.67894674055054</v>
      </c>
      <c r="D166" t="str">
        <f t="shared" si="7"/>
        <v/>
      </c>
    </row>
    <row r="167" spans="1:4" x14ac:dyDescent="0.35">
      <c r="A167">
        <v>158</v>
      </c>
      <c r="B167">
        <f t="shared" si="8"/>
        <v>158</v>
      </c>
      <c r="C167">
        <f t="shared" si="6"/>
        <v>250.51781892307744</v>
      </c>
      <c r="D167" t="str">
        <f t="shared" si="7"/>
        <v/>
      </c>
    </row>
    <row r="168" spans="1:4" x14ac:dyDescent="0.35">
      <c r="A168">
        <v>159</v>
      </c>
      <c r="B168">
        <f t="shared" si="8"/>
        <v>159</v>
      </c>
      <c r="C168">
        <f t="shared" si="6"/>
        <v>251.34376491553303</v>
      </c>
      <c r="D168" t="str">
        <f t="shared" si="7"/>
        <v/>
      </c>
    </row>
    <row r="169" spans="1:4" x14ac:dyDescent="0.35">
      <c r="A169">
        <v>160</v>
      </c>
      <c r="B169">
        <f t="shared" si="8"/>
        <v>160</v>
      </c>
      <c r="C169">
        <f t="shared" si="6"/>
        <v>252.15694606615756</v>
      </c>
      <c r="D169" t="str">
        <f t="shared" si="7"/>
        <v/>
      </c>
    </row>
    <row r="170" spans="1:4" x14ac:dyDescent="0.35">
      <c r="A170">
        <v>161</v>
      </c>
      <c r="B170">
        <f t="shared" si="8"/>
        <v>161</v>
      </c>
      <c r="C170">
        <f t="shared" si="6"/>
        <v>252.95752313283006</v>
      </c>
      <c r="D170" t="str">
        <f t="shared" si="7"/>
        <v/>
      </c>
    </row>
    <row r="171" spans="1:4" x14ac:dyDescent="0.35">
      <c r="A171">
        <v>162</v>
      </c>
      <c r="B171">
        <f t="shared" si="8"/>
        <v>162</v>
      </c>
      <c r="C171">
        <f t="shared" si="6"/>
        <v>253.74565622123831</v>
      </c>
      <c r="D171" t="str">
        <f t="shared" si="7"/>
        <v/>
      </c>
    </row>
    <row r="172" spans="1:4" x14ac:dyDescent="0.35">
      <c r="A172">
        <v>163</v>
      </c>
      <c r="B172">
        <f t="shared" si="8"/>
        <v>163</v>
      </c>
      <c r="C172">
        <f t="shared" si="6"/>
        <v>254.52150472626957</v>
      </c>
      <c r="D172" t="str">
        <f t="shared" si="7"/>
        <v/>
      </c>
    </row>
    <row r="173" spans="1:4" x14ac:dyDescent="0.35">
      <c r="A173">
        <v>164</v>
      </c>
      <c r="B173">
        <f t="shared" si="8"/>
        <v>164</v>
      </c>
      <c r="C173">
        <f t="shared" si="6"/>
        <v>255.28522727650864</v>
      </c>
      <c r="D173" t="str">
        <f t="shared" si="7"/>
        <v/>
      </c>
    </row>
    <row r="174" spans="1:4" x14ac:dyDescent="0.35">
      <c r="A174">
        <v>165</v>
      </c>
      <c r="B174">
        <f t="shared" si="8"/>
        <v>165</v>
      </c>
      <c r="C174">
        <f t="shared" si="6"/>
        <v>256.03698168173878</v>
      </c>
      <c r="D174" t="str">
        <f t="shared" si="7"/>
        <v/>
      </c>
    </row>
    <row r="175" spans="1:4" x14ac:dyDescent="0.35">
      <c r="A175">
        <v>166</v>
      </c>
      <c r="B175">
        <f t="shared" si="8"/>
        <v>166</v>
      </c>
      <c r="C175">
        <f t="shared" si="6"/>
        <v>256.77692488333969</v>
      </c>
      <c r="D175" t="str">
        <f t="shared" si="7"/>
        <v/>
      </c>
    </row>
    <row r="176" spans="1:4" x14ac:dyDescent="0.35">
      <c r="A176">
        <v>167</v>
      </c>
      <c r="B176">
        <f t="shared" si="8"/>
        <v>167</v>
      </c>
      <c r="C176">
        <f t="shared" si="6"/>
        <v>257.50521290748208</v>
      </c>
      <c r="D176" t="str">
        <f t="shared" si="7"/>
        <v/>
      </c>
    </row>
    <row r="177" spans="1:4" x14ac:dyDescent="0.35">
      <c r="A177">
        <v>168</v>
      </c>
      <c r="B177">
        <f t="shared" si="8"/>
        <v>168</v>
      </c>
      <c r="C177">
        <f t="shared" si="6"/>
        <v>258.22200082101841</v>
      </c>
      <c r="D177" t="str">
        <f t="shared" si="7"/>
        <v/>
      </c>
    </row>
    <row r="178" spans="1:4" x14ac:dyDescent="0.35">
      <c r="A178">
        <v>169</v>
      </c>
      <c r="B178">
        <f t="shared" si="8"/>
        <v>169</v>
      </c>
      <c r="C178">
        <f t="shared" si="6"/>
        <v>258.92744268997535</v>
      </c>
      <c r="D178" t="str">
        <f t="shared" si="7"/>
        <v/>
      </c>
    </row>
    <row r="179" spans="1:4" x14ac:dyDescent="0.35">
      <c r="A179">
        <v>170</v>
      </c>
      <c r="B179">
        <f t="shared" si="8"/>
        <v>170</v>
      </c>
      <c r="C179">
        <f t="shared" si="6"/>
        <v>259.62169154055141</v>
      </c>
      <c r="D179" t="str">
        <f t="shared" si="7"/>
        <v/>
      </c>
    </row>
    <row r="180" spans="1:4" x14ac:dyDescent="0.35">
      <c r="A180">
        <v>171</v>
      </c>
      <c r="B180">
        <f t="shared" si="8"/>
        <v>171</v>
      </c>
      <c r="C180">
        <f t="shared" si="6"/>
        <v>260.3048993225301</v>
      </c>
      <c r="D180" t="str">
        <f t="shared" si="7"/>
        <v/>
      </c>
    </row>
    <row r="181" spans="1:4" x14ac:dyDescent="0.35">
      <c r="A181">
        <v>172</v>
      </c>
      <c r="B181">
        <f t="shared" si="8"/>
        <v>172</v>
      </c>
      <c r="C181">
        <f t="shared" si="6"/>
        <v>260.97721687502064</v>
      </c>
      <c r="D181" t="str">
        <f t="shared" si="7"/>
        <v/>
      </c>
    </row>
    <row r="182" spans="1:4" x14ac:dyDescent="0.35">
      <c r="A182">
        <v>173</v>
      </c>
      <c r="B182">
        <f t="shared" si="8"/>
        <v>173</v>
      </c>
      <c r="C182">
        <f t="shared" si="6"/>
        <v>261.63879389443525</v>
      </c>
      <c r="D182" t="str">
        <f t="shared" si="7"/>
        <v/>
      </c>
    </row>
    <row r="183" spans="1:4" x14ac:dyDescent="0.35">
      <c r="A183">
        <v>174</v>
      </c>
      <c r="B183">
        <f t="shared" si="8"/>
        <v>174</v>
      </c>
      <c r="C183">
        <f t="shared" si="6"/>
        <v>262.28977890462568</v>
      </c>
      <c r="D183" t="str">
        <f t="shared" si="7"/>
        <v/>
      </c>
    </row>
    <row r="184" spans="1:4" x14ac:dyDescent="0.35">
      <c r="A184">
        <v>175</v>
      </c>
      <c r="B184">
        <f t="shared" si="8"/>
        <v>175</v>
      </c>
      <c r="C184">
        <f t="shared" si="6"/>
        <v>262.93031922909188</v>
      </c>
      <c r="D184" t="str">
        <f t="shared" si="7"/>
        <v/>
      </c>
    </row>
    <row r="185" spans="1:4" x14ac:dyDescent="0.35">
      <c r="A185">
        <v>176</v>
      </c>
      <c r="B185">
        <f t="shared" si="8"/>
        <v>176</v>
      </c>
      <c r="C185">
        <f t="shared" si="6"/>
        <v>263.56056096518438</v>
      </c>
      <c r="D185" t="str">
        <f t="shared" si="7"/>
        <v/>
      </c>
    </row>
    <row r="186" spans="1:4" x14ac:dyDescent="0.35">
      <c r="A186">
        <v>177</v>
      </c>
      <c r="B186">
        <f t="shared" si="8"/>
        <v>177</v>
      </c>
      <c r="C186">
        <f t="shared" si="6"/>
        <v>264.18064896022611</v>
      </c>
      <c r="D186" t="str">
        <f t="shared" si="7"/>
        <v/>
      </c>
    </row>
    <row r="187" spans="1:4" x14ac:dyDescent="0.35">
      <c r="A187">
        <v>178</v>
      </c>
      <c r="B187">
        <f t="shared" si="8"/>
        <v>178</v>
      </c>
      <c r="C187">
        <f t="shared" si="6"/>
        <v>264.79072678947631</v>
      </c>
      <c r="D187" t="str">
        <f t="shared" si="7"/>
        <v/>
      </c>
    </row>
    <row r="188" spans="1:4" x14ac:dyDescent="0.35">
      <c r="A188">
        <v>179</v>
      </c>
      <c r="B188">
        <f t="shared" si="8"/>
        <v>179</v>
      </c>
      <c r="C188">
        <f t="shared" si="6"/>
        <v>265.39093673586342</v>
      </c>
      <c r="D188" t="str">
        <f t="shared" si="7"/>
        <v/>
      </c>
    </row>
    <row r="189" spans="1:4" x14ac:dyDescent="0.35">
      <c r="A189">
        <v>180</v>
      </c>
      <c r="B189">
        <f t="shared" si="8"/>
        <v>180</v>
      </c>
      <c r="C189">
        <f t="shared" si="6"/>
        <v>265.98141977142052</v>
      </c>
      <c r="D189" t="str">
        <f t="shared" si="7"/>
        <v/>
      </c>
    </row>
    <row r="190" spans="1:4" x14ac:dyDescent="0.35">
      <c r="A190">
        <v>181</v>
      </c>
      <c r="B190">
        <f t="shared" si="8"/>
        <v>181</v>
      </c>
      <c r="C190">
        <f t="shared" si="6"/>
        <v>266.56231554034815</v>
      </c>
      <c r="D190" t="str">
        <f t="shared" si="7"/>
        <v/>
      </c>
    </row>
    <row r="191" spans="1:4" x14ac:dyDescent="0.35">
      <c r="A191">
        <v>182</v>
      </c>
      <c r="B191">
        <f t="shared" si="8"/>
        <v>182</v>
      </c>
      <c r="C191">
        <f t="shared" si="6"/>
        <v>267.13376234364677</v>
      </c>
      <c r="D191" t="str">
        <f t="shared" si="7"/>
        <v/>
      </c>
    </row>
    <row r="192" spans="1:4" x14ac:dyDescent="0.35">
      <c r="A192">
        <v>183</v>
      </c>
      <c r="B192">
        <f t="shared" si="8"/>
        <v>183</v>
      </c>
      <c r="C192">
        <f t="shared" si="6"/>
        <v>267.69589712524726</v>
      </c>
      <c r="D192" t="str">
        <f t="shared" si="7"/>
        <v/>
      </c>
    </row>
    <row r="193" spans="1:4" x14ac:dyDescent="0.35">
      <c r="A193">
        <v>184</v>
      </c>
      <c r="B193">
        <f t="shared" si="8"/>
        <v>184</v>
      </c>
      <c r="C193">
        <f t="shared" si="6"/>
        <v>268.24885545958125</v>
      </c>
      <c r="D193" t="str">
        <f t="shared" si="7"/>
        <v/>
      </c>
    </row>
    <row r="194" spans="1:4" x14ac:dyDescent="0.35">
      <c r="A194">
        <v>185</v>
      </c>
      <c r="B194">
        <f t="shared" si="8"/>
        <v>185</v>
      </c>
      <c r="C194">
        <f t="shared" si="6"/>
        <v>268.79277154053068</v>
      </c>
      <c r="D194" t="str">
        <f t="shared" si="7"/>
        <v/>
      </c>
    </row>
    <row r="195" spans="1:4" x14ac:dyDescent="0.35">
      <c r="A195">
        <v>186</v>
      </c>
      <c r="B195">
        <f t="shared" si="8"/>
        <v>186</v>
      </c>
      <c r="C195">
        <f t="shared" si="6"/>
        <v>269.32777817169688</v>
      </c>
      <c r="D195" t="str">
        <f t="shared" si="7"/>
        <v/>
      </c>
    </row>
    <row r="196" spans="1:4" x14ac:dyDescent="0.35">
      <c r="A196">
        <v>187</v>
      </c>
      <c r="B196">
        <f t="shared" si="8"/>
        <v>187</v>
      </c>
      <c r="C196">
        <f t="shared" si="6"/>
        <v>269.85400675793431</v>
      </c>
      <c r="D196" t="str">
        <f t="shared" si="7"/>
        <v/>
      </c>
    </row>
    <row r="197" spans="1:4" x14ac:dyDescent="0.35">
      <c r="A197">
        <v>188</v>
      </c>
      <c r="B197">
        <f t="shared" si="8"/>
        <v>188</v>
      </c>
      <c r="C197">
        <f t="shared" si="6"/>
        <v>270.37158729809374</v>
      </c>
      <c r="D197" t="str">
        <f t="shared" si="7"/>
        <v/>
      </c>
    </row>
    <row r="198" spans="1:4" x14ac:dyDescent="0.35">
      <c r="A198">
        <v>189</v>
      </c>
      <c r="B198">
        <f t="shared" si="8"/>
        <v>189</v>
      </c>
      <c r="C198">
        <f t="shared" si="6"/>
        <v>270.88064837892011</v>
      </c>
      <c r="D198" t="str">
        <f t="shared" si="7"/>
        <v/>
      </c>
    </row>
    <row r="199" spans="1:4" x14ac:dyDescent="0.35">
      <c r="A199">
        <v>190</v>
      </c>
      <c r="B199">
        <f t="shared" si="8"/>
        <v>190</v>
      </c>
      <c r="C199">
        <f t="shared" si="6"/>
        <v>271.38131717005876</v>
      </c>
      <c r="D199" t="str">
        <f t="shared" si="7"/>
        <v/>
      </c>
    </row>
    <row r="200" spans="1:4" x14ac:dyDescent="0.35">
      <c r="A200">
        <v>191</v>
      </c>
      <c r="B200">
        <f t="shared" si="8"/>
        <v>191</v>
      </c>
      <c r="C200">
        <f t="shared" si="6"/>
        <v>271.87371942011544</v>
      </c>
      <c r="D200" t="str">
        <f t="shared" si="7"/>
        <v/>
      </c>
    </row>
    <row r="201" spans="1:4" x14ac:dyDescent="0.35">
      <c r="A201">
        <v>192</v>
      </c>
      <c r="B201">
        <f t="shared" si="8"/>
        <v>192</v>
      </c>
      <c r="C201">
        <f t="shared" ref="C201:C264" si="9">POWER( POWER($B$4,1/4) * (1 - (1 - POWER($B$5,1/4) / POWER($B$4,1/4)) * EXP(- $B$2 * B201 / (4 * POWER($B$4,1/4)) ) ), 4)</f>
        <v>272.35797945372423</v>
      </c>
      <c r="D201" t="str">
        <f t="shared" ref="D201:D264" si="10">IF(B201=0,"m0 exact","")</f>
        <v/>
      </c>
    </row>
    <row r="202" spans="1:4" x14ac:dyDescent="0.35">
      <c r="A202">
        <v>193</v>
      </c>
      <c r="B202">
        <f t="shared" ref="B202:B265" si="11">B201 + $B$3</f>
        <v>193</v>
      </c>
      <c r="C202">
        <f t="shared" si="9"/>
        <v>272.83422016957974</v>
      </c>
      <c r="D202" t="str">
        <f t="shared" si="10"/>
        <v/>
      </c>
    </row>
    <row r="203" spans="1:4" x14ac:dyDescent="0.35">
      <c r="A203">
        <v>194</v>
      </c>
      <c r="B203">
        <f t="shared" si="11"/>
        <v>194</v>
      </c>
      <c r="C203">
        <f t="shared" si="9"/>
        <v>273.30256303938347</v>
      </c>
      <c r="D203" t="str">
        <f t="shared" si="10"/>
        <v/>
      </c>
    </row>
    <row r="204" spans="1:4" x14ac:dyDescent="0.35">
      <c r="A204">
        <v>195</v>
      </c>
      <c r="B204">
        <f t="shared" si="11"/>
        <v>195</v>
      </c>
      <c r="C204">
        <f t="shared" si="9"/>
        <v>273.76312810766751</v>
      </c>
      <c r="D204" t="str">
        <f t="shared" si="10"/>
        <v/>
      </c>
    </row>
    <row r="205" spans="1:4" x14ac:dyDescent="0.35">
      <c r="A205">
        <v>196</v>
      </c>
      <c r="B205">
        <f t="shared" si="11"/>
        <v>196</v>
      </c>
      <c r="C205">
        <f t="shared" si="9"/>
        <v>274.2160339924493</v>
      </c>
      <c r="D205" t="str">
        <f t="shared" si="10"/>
        <v/>
      </c>
    </row>
    <row r="206" spans="1:4" x14ac:dyDescent="0.35">
      <c r="A206">
        <v>197</v>
      </c>
      <c r="B206">
        <f t="shared" si="11"/>
        <v>197</v>
      </c>
      <c r="C206">
        <f t="shared" si="9"/>
        <v>274.66139788667942</v>
      </c>
      <c r="D206" t="str">
        <f t="shared" si="10"/>
        <v/>
      </c>
    </row>
    <row r="207" spans="1:4" x14ac:dyDescent="0.35">
      <c r="A207">
        <v>198</v>
      </c>
      <c r="B207">
        <f t="shared" si="11"/>
        <v>198</v>
      </c>
      <c r="C207">
        <f t="shared" si="9"/>
        <v>275.09933556044069</v>
      </c>
      <c r="D207" t="str">
        <f t="shared" si="10"/>
        <v/>
      </c>
    </row>
    <row r="208" spans="1:4" x14ac:dyDescent="0.35">
      <c r="A208">
        <v>199</v>
      </c>
      <c r="B208">
        <f t="shared" si="11"/>
        <v>199</v>
      </c>
      <c r="C208">
        <f t="shared" si="9"/>
        <v>275.52996136387031</v>
      </c>
      <c r="D208" t="str">
        <f t="shared" si="10"/>
        <v/>
      </c>
    </row>
    <row r="209" spans="1:4" x14ac:dyDescent="0.35">
      <c r="A209">
        <v>200</v>
      </c>
      <c r="B209">
        <f t="shared" si="11"/>
        <v>200</v>
      </c>
      <c r="C209">
        <f t="shared" si="9"/>
        <v>275.953388230754</v>
      </c>
      <c r="D209" t="str">
        <f t="shared" si="10"/>
        <v/>
      </c>
    </row>
    <row r="210" spans="1:4" x14ac:dyDescent="0.35">
      <c r="A210">
        <v>201</v>
      </c>
      <c r="B210">
        <f t="shared" si="11"/>
        <v>201</v>
      </c>
      <c r="C210">
        <f t="shared" si="9"/>
        <v>276.3697276827711</v>
      </c>
      <c r="D210" t="str">
        <f t="shared" si="10"/>
        <v/>
      </c>
    </row>
    <row r="211" spans="1:4" x14ac:dyDescent="0.35">
      <c r="A211">
        <v>202</v>
      </c>
      <c r="B211">
        <f t="shared" si="11"/>
        <v>202</v>
      </c>
      <c r="C211">
        <f t="shared" si="9"/>
        <v>276.77908983435015</v>
      </c>
      <c r="D211" t="str">
        <f t="shared" si="10"/>
        <v/>
      </c>
    </row>
    <row r="212" spans="1:4" x14ac:dyDescent="0.35">
      <c r="A212">
        <v>203</v>
      </c>
      <c r="B212">
        <f t="shared" si="11"/>
        <v>203</v>
      </c>
      <c r="C212">
        <f t="shared" si="9"/>
        <v>277.18158339810458</v>
      </c>
      <c r="D212" t="str">
        <f t="shared" si="10"/>
        <v/>
      </c>
    </row>
    <row r="213" spans="1:4" x14ac:dyDescent="0.35">
      <c r="A213">
        <v>204</v>
      </c>
      <c r="B213">
        <f t="shared" si="11"/>
        <v>204</v>
      </c>
      <c r="C213">
        <f t="shared" si="9"/>
        <v>277.57731569081568</v>
      </c>
      <c r="D213" t="str">
        <f t="shared" si="10"/>
        <v/>
      </c>
    </row>
    <row r="214" spans="1:4" x14ac:dyDescent="0.35">
      <c r="A214">
        <v>205</v>
      </c>
      <c r="B214">
        <f t="shared" si="11"/>
        <v>205</v>
      </c>
      <c r="C214">
        <f t="shared" si="9"/>
        <v>277.96639263993609</v>
      </c>
      <c r="D214" t="str">
        <f t="shared" si="10"/>
        <v/>
      </c>
    </row>
    <row r="215" spans="1:4" x14ac:dyDescent="0.35">
      <c r="A215">
        <v>206</v>
      </c>
      <c r="B215">
        <f t="shared" si="11"/>
        <v>206</v>
      </c>
      <c r="C215">
        <f t="shared" si="9"/>
        <v>278.34891879058159</v>
      </c>
      <c r="D215" t="str">
        <f t="shared" si="10"/>
        <v/>
      </c>
    </row>
    <row r="216" spans="1:4" x14ac:dyDescent="0.35">
      <c r="A216">
        <v>207</v>
      </c>
      <c r="B216">
        <f t="shared" si="11"/>
        <v>207</v>
      </c>
      <c r="C216">
        <f t="shared" si="9"/>
        <v>278.72499731298473</v>
      </c>
      <c r="D216" t="str">
        <f t="shared" si="10"/>
        <v/>
      </c>
    </row>
    <row r="217" spans="1:4" x14ac:dyDescent="0.35">
      <c r="A217">
        <v>208</v>
      </c>
      <c r="B217">
        <f t="shared" si="11"/>
        <v>208</v>
      </c>
      <c r="C217">
        <f t="shared" si="9"/>
        <v>279.09473001038577</v>
      </c>
      <c r="D217" t="str">
        <f t="shared" si="10"/>
        <v/>
      </c>
    </row>
    <row r="218" spans="1:4" x14ac:dyDescent="0.35">
      <c r="A218">
        <v>209</v>
      </c>
      <c r="B218">
        <f t="shared" si="11"/>
        <v>209</v>
      </c>
      <c r="C218">
        <f t="shared" si="9"/>
        <v>279.45821732733015</v>
      </c>
      <c r="D218" t="str">
        <f t="shared" si="10"/>
        <v/>
      </c>
    </row>
    <row r="219" spans="1:4" x14ac:dyDescent="0.35">
      <c r="A219">
        <v>210</v>
      </c>
      <c r="B219">
        <f t="shared" si="11"/>
        <v>210</v>
      </c>
      <c r="C219">
        <f t="shared" si="9"/>
        <v>279.81555835835269</v>
      </c>
      <c r="D219" t="str">
        <f t="shared" si="10"/>
        <v/>
      </c>
    </row>
    <row r="220" spans="1:4" x14ac:dyDescent="0.35">
      <c r="A220">
        <v>211</v>
      </c>
      <c r="B220">
        <f t="shared" si="11"/>
        <v>211</v>
      </c>
      <c r="C220">
        <f t="shared" si="9"/>
        <v>280.1668508570221</v>
      </c>
      <c r="D220" t="str">
        <f t="shared" si="10"/>
        <v/>
      </c>
    </row>
    <row r="221" spans="1:4" x14ac:dyDescent="0.35">
      <c r="A221">
        <v>212</v>
      </c>
      <c r="B221">
        <f t="shared" si="11"/>
        <v>212</v>
      </c>
      <c r="C221">
        <f t="shared" si="9"/>
        <v>280.51219124532378</v>
      </c>
      <c r="D221" t="str">
        <f t="shared" si="10"/>
        <v/>
      </c>
    </row>
    <row r="222" spans="1:4" x14ac:dyDescent="0.35">
      <c r="A222">
        <v>213</v>
      </c>
      <c r="B222">
        <f t="shared" si="11"/>
        <v>213</v>
      </c>
      <c r="C222">
        <f t="shared" si="9"/>
        <v>280.85167462335795</v>
      </c>
      <c r="D222" t="str">
        <f t="shared" si="10"/>
        <v/>
      </c>
    </row>
    <row r="223" spans="1:4" x14ac:dyDescent="0.35">
      <c r="A223">
        <v>214</v>
      </c>
      <c r="B223">
        <f t="shared" si="11"/>
        <v>214</v>
      </c>
      <c r="C223">
        <f t="shared" si="9"/>
        <v>281.18539477933416</v>
      </c>
      <c r="D223" t="str">
        <f t="shared" si="10"/>
        <v/>
      </c>
    </row>
    <row r="224" spans="1:4" x14ac:dyDescent="0.35">
      <c r="A224">
        <v>215</v>
      </c>
      <c r="B224">
        <f t="shared" si="11"/>
        <v>215</v>
      </c>
      <c r="C224">
        <f t="shared" si="9"/>
        <v>281.51344419983934</v>
      </c>
      <c r="D224" t="str">
        <f t="shared" si="10"/>
        <v/>
      </c>
    </row>
    <row r="225" spans="1:4" x14ac:dyDescent="0.35">
      <c r="A225">
        <v>216</v>
      </c>
      <c r="B225">
        <f t="shared" si="11"/>
        <v>216</v>
      </c>
      <c r="C225">
        <f t="shared" si="9"/>
        <v>281.83591408036153</v>
      </c>
      <c r="D225" t="str">
        <f t="shared" si="10"/>
        <v/>
      </c>
    </row>
    <row r="226" spans="1:4" x14ac:dyDescent="0.35">
      <c r="A226">
        <v>217</v>
      </c>
      <c r="B226">
        <f t="shared" si="11"/>
        <v>217</v>
      </c>
      <c r="C226">
        <f t="shared" si="9"/>
        <v>282.15289433605039</v>
      </c>
      <c r="D226" t="str">
        <f t="shared" si="10"/>
        <v/>
      </c>
    </row>
    <row r="227" spans="1:4" x14ac:dyDescent="0.35">
      <c r="A227">
        <v>218</v>
      </c>
      <c r="B227">
        <f t="shared" si="11"/>
        <v>218</v>
      </c>
      <c r="C227">
        <f t="shared" si="9"/>
        <v>282.46447361269611</v>
      </c>
      <c r="D227" t="str">
        <f t="shared" si="10"/>
        <v/>
      </c>
    </row>
    <row r="228" spans="1:4" x14ac:dyDescent="0.35">
      <c r="A228">
        <v>219</v>
      </c>
      <c r="B228">
        <f t="shared" si="11"/>
        <v>219</v>
      </c>
      <c r="C228">
        <f t="shared" si="9"/>
        <v>282.77073929790993</v>
      </c>
      <c r="D228" t="str">
        <f t="shared" si="10"/>
        <v/>
      </c>
    </row>
    <row r="229" spans="1:4" x14ac:dyDescent="0.35">
      <c r="A229">
        <v>220</v>
      </c>
      <c r="B229">
        <f t="shared" si="11"/>
        <v>220</v>
      </c>
      <c r="C229">
        <f t="shared" si="9"/>
        <v>283.07177753248936</v>
      </c>
      <c r="D229" t="str">
        <f t="shared" si="10"/>
        <v/>
      </c>
    </row>
    <row r="230" spans="1:4" x14ac:dyDescent="0.35">
      <c r="A230">
        <v>221</v>
      </c>
      <c r="B230">
        <f t="shared" si="11"/>
        <v>221</v>
      </c>
      <c r="C230">
        <f t="shared" si="9"/>
        <v>283.36767322195396</v>
      </c>
      <c r="D230" t="str">
        <f t="shared" si="10"/>
        <v/>
      </c>
    </row>
    <row r="231" spans="1:4" x14ac:dyDescent="0.35">
      <c r="A231">
        <v>222</v>
      </c>
      <c r="B231">
        <f t="shared" si="11"/>
        <v>222</v>
      </c>
      <c r="C231">
        <f t="shared" si="9"/>
        <v>283.65851004823298</v>
      </c>
      <c r="D231" t="str">
        <f t="shared" si="10"/>
        <v/>
      </c>
    </row>
    <row r="232" spans="1:4" x14ac:dyDescent="0.35">
      <c r="A232">
        <v>223</v>
      </c>
      <c r="B232">
        <f t="shared" si="11"/>
        <v>223</v>
      </c>
      <c r="C232">
        <f t="shared" si="9"/>
        <v>283.94437048149496</v>
      </c>
      <c r="D232" t="str">
        <f t="shared" si="10"/>
        <v/>
      </c>
    </row>
    <row r="233" spans="1:4" x14ac:dyDescent="0.35">
      <c r="A233">
        <v>224</v>
      </c>
      <c r="B233">
        <f t="shared" si="11"/>
        <v>224</v>
      </c>
      <c r="C233">
        <f t="shared" si="9"/>
        <v>284.22533579210238</v>
      </c>
      <c r="D233" t="str">
        <f t="shared" si="10"/>
        <v/>
      </c>
    </row>
    <row r="234" spans="1:4" x14ac:dyDescent="0.35">
      <c r="A234">
        <v>225</v>
      </c>
      <c r="B234">
        <f t="shared" si="11"/>
        <v>225</v>
      </c>
      <c r="C234">
        <f t="shared" si="9"/>
        <v>284.50148606267777</v>
      </c>
      <c r="D234" t="str">
        <f t="shared" si="10"/>
        <v/>
      </c>
    </row>
    <row r="235" spans="1:4" x14ac:dyDescent="0.35">
      <c r="A235">
        <v>226</v>
      </c>
      <c r="B235">
        <f t="shared" si="11"/>
        <v>226</v>
      </c>
      <c r="C235">
        <f t="shared" si="9"/>
        <v>284.77290020027101</v>
      </c>
      <c r="D235" t="str">
        <f t="shared" si="10"/>
        <v/>
      </c>
    </row>
    <row r="236" spans="1:4" x14ac:dyDescent="0.35">
      <c r="A236">
        <v>227</v>
      </c>
      <c r="B236">
        <f t="shared" si="11"/>
        <v>227</v>
      </c>
      <c r="C236">
        <f t="shared" si="9"/>
        <v>285.03965594861472</v>
      </c>
      <c r="D236" t="str">
        <f t="shared" si="10"/>
        <v/>
      </c>
    </row>
    <row r="237" spans="1:4" x14ac:dyDescent="0.35">
      <c r="A237">
        <v>228</v>
      </c>
      <c r="B237">
        <f t="shared" si="11"/>
        <v>228</v>
      </c>
      <c r="C237">
        <f t="shared" si="9"/>
        <v>285.30182990045427</v>
      </c>
      <c r="D237" t="str">
        <f t="shared" si="10"/>
        <v/>
      </c>
    </row>
    <row r="238" spans="1:4" x14ac:dyDescent="0.35">
      <c r="A238">
        <v>229</v>
      </c>
      <c r="B238">
        <f t="shared" si="11"/>
        <v>229</v>
      </c>
      <c r="C238">
        <f t="shared" si="9"/>
        <v>285.55949750994387</v>
      </c>
      <c r="D238" t="str">
        <f t="shared" si="10"/>
        <v/>
      </c>
    </row>
    <row r="239" spans="1:4" x14ac:dyDescent="0.35">
      <c r="A239">
        <v>230</v>
      </c>
      <c r="B239">
        <f t="shared" si="11"/>
        <v>230</v>
      </c>
      <c r="C239">
        <f t="shared" si="9"/>
        <v>285.81273310509789</v>
      </c>
      <c r="D239" t="str">
        <f t="shared" si="10"/>
        <v/>
      </c>
    </row>
    <row r="240" spans="1:4" x14ac:dyDescent="0.35">
      <c r="A240">
        <v>231</v>
      </c>
      <c r="B240">
        <f t="shared" si="11"/>
        <v>231</v>
      </c>
      <c r="C240">
        <f t="shared" si="9"/>
        <v>286.06160990028548</v>
      </c>
      <c r="D240" t="str">
        <f t="shared" si="10"/>
        <v/>
      </c>
    </row>
    <row r="241" spans="1:4" x14ac:dyDescent="0.35">
      <c r="A241">
        <v>232</v>
      </c>
      <c r="B241">
        <f t="shared" si="11"/>
        <v>232</v>
      </c>
      <c r="C241">
        <f t="shared" si="9"/>
        <v>286.30620000876047</v>
      </c>
      <c r="D241" t="str">
        <f t="shared" si="10"/>
        <v/>
      </c>
    </row>
    <row r="242" spans="1:4" x14ac:dyDescent="0.35">
      <c r="A242">
        <v>233</v>
      </c>
      <c r="B242">
        <f t="shared" si="11"/>
        <v>233</v>
      </c>
      <c r="C242">
        <f t="shared" si="9"/>
        <v>286.54657445521735</v>
      </c>
      <c r="D242" t="str">
        <f t="shared" si="10"/>
        <v/>
      </c>
    </row>
    <row r="243" spans="1:4" x14ac:dyDescent="0.35">
      <c r="A243">
        <v>234</v>
      </c>
      <c r="B243">
        <f t="shared" si="11"/>
        <v>234</v>
      </c>
      <c r="C243">
        <f t="shared" si="9"/>
        <v>286.78280318836426</v>
      </c>
      <c r="D243" t="str">
        <f t="shared" si="10"/>
        <v/>
      </c>
    </row>
    <row r="244" spans="1:4" x14ac:dyDescent="0.35">
      <c r="A244">
        <v>235</v>
      </c>
      <c r="B244">
        <f t="shared" si="11"/>
        <v>235</v>
      </c>
      <c r="C244">
        <f t="shared" si="9"/>
        <v>287.01495509350417</v>
      </c>
      <c r="D244" t="str">
        <f t="shared" si="10"/>
        <v/>
      </c>
    </row>
    <row r="245" spans="1:4" x14ac:dyDescent="0.35">
      <c r="A245">
        <v>236</v>
      </c>
      <c r="B245">
        <f t="shared" si="11"/>
        <v>236</v>
      </c>
      <c r="C245">
        <f t="shared" si="9"/>
        <v>287.24309800511753</v>
      </c>
      <c r="D245" t="str">
        <f t="shared" si="10"/>
        <v/>
      </c>
    </row>
    <row r="246" spans="1:4" x14ac:dyDescent="0.35">
      <c r="A246">
        <v>237</v>
      </c>
      <c r="B246">
        <f t="shared" si="11"/>
        <v>237</v>
      </c>
      <c r="C246">
        <f t="shared" si="9"/>
        <v>287.46729871943791</v>
      </c>
      <c r="D246" t="str">
        <f t="shared" si="10"/>
        <v/>
      </c>
    </row>
    <row r="247" spans="1:4" x14ac:dyDescent="0.35">
      <c r="A247">
        <v>238</v>
      </c>
      <c r="B247">
        <f t="shared" si="11"/>
        <v>238</v>
      </c>
      <c r="C247">
        <f t="shared" si="9"/>
        <v>287.68762300701343</v>
      </c>
      <c r="D247" t="str">
        <f t="shared" si="10"/>
        <v/>
      </c>
    </row>
    <row r="248" spans="1:4" x14ac:dyDescent="0.35">
      <c r="A248">
        <v>239</v>
      </c>
      <c r="B248">
        <f t="shared" si="11"/>
        <v>239</v>
      </c>
      <c r="C248">
        <f t="shared" si="9"/>
        <v>287.90413562524884</v>
      </c>
      <c r="D248" t="str">
        <f t="shared" si="10"/>
        <v/>
      </c>
    </row>
    <row r="249" spans="1:4" x14ac:dyDescent="0.35">
      <c r="A249">
        <v>240</v>
      </c>
      <c r="B249">
        <f t="shared" si="11"/>
        <v>240</v>
      </c>
      <c r="C249">
        <f t="shared" si="9"/>
        <v>288.11690033091907</v>
      </c>
      <c r="D249" t="str">
        <f t="shared" si="10"/>
        <v/>
      </c>
    </row>
    <row r="250" spans="1:4" x14ac:dyDescent="0.35">
      <c r="A250">
        <v>241</v>
      </c>
      <c r="B250">
        <f t="shared" si="11"/>
        <v>241</v>
      </c>
      <c r="C250">
        <f t="shared" si="9"/>
        <v>288.32597989265099</v>
      </c>
      <c r="D250" t="str">
        <f t="shared" si="10"/>
        <v/>
      </c>
    </row>
    <row r="251" spans="1:4" x14ac:dyDescent="0.35">
      <c r="A251">
        <v>242</v>
      </c>
      <c r="B251">
        <f t="shared" si="11"/>
        <v>242</v>
      </c>
      <c r="C251">
        <f t="shared" si="9"/>
        <v>288.53143610336434</v>
      </c>
      <c r="D251" t="str">
        <f t="shared" si="10"/>
        <v/>
      </c>
    </row>
    <row r="252" spans="1:4" x14ac:dyDescent="0.35">
      <c r="A252">
        <v>243</v>
      </c>
      <c r="B252">
        <f t="shared" si="11"/>
        <v>243</v>
      </c>
      <c r="C252">
        <f t="shared" si="9"/>
        <v>288.73332979267138</v>
      </c>
      <c r="D252" t="str">
        <f t="shared" si="10"/>
        <v/>
      </c>
    </row>
    <row r="253" spans="1:4" x14ac:dyDescent="0.35">
      <c r="A253">
        <v>244</v>
      </c>
      <c r="B253">
        <f t="shared" si="11"/>
        <v>244</v>
      </c>
      <c r="C253">
        <f t="shared" si="9"/>
        <v>288.93172083922445</v>
      </c>
      <c r="D253" t="str">
        <f t="shared" si="10"/>
        <v/>
      </c>
    </row>
    <row r="254" spans="1:4" x14ac:dyDescent="0.35">
      <c r="A254">
        <v>245</v>
      </c>
      <c r="B254">
        <f t="shared" si="11"/>
        <v>245</v>
      </c>
      <c r="C254">
        <f t="shared" si="9"/>
        <v>289.12666818300892</v>
      </c>
      <c r="D254" t="str">
        <f t="shared" si="10"/>
        <v/>
      </c>
    </row>
    <row r="255" spans="1:4" x14ac:dyDescent="0.35">
      <c r="A255">
        <v>246</v>
      </c>
      <c r="B255">
        <f t="shared" si="11"/>
        <v>246</v>
      </c>
      <c r="C255">
        <f t="shared" si="9"/>
        <v>289.3182298375803</v>
      </c>
      <c r="D255" t="str">
        <f t="shared" si="10"/>
        <v/>
      </c>
    </row>
    <row r="256" spans="1:4" x14ac:dyDescent="0.35">
      <c r="A256">
        <v>247</v>
      </c>
      <c r="B256">
        <f t="shared" si="11"/>
        <v>247</v>
      </c>
      <c r="C256">
        <f t="shared" si="9"/>
        <v>289.50646290223318</v>
      </c>
      <c r="D256" t="str">
        <f t="shared" si="10"/>
        <v/>
      </c>
    </row>
    <row r="257" spans="1:4" x14ac:dyDescent="0.35">
      <c r="A257">
        <v>248</v>
      </c>
      <c r="B257">
        <f t="shared" si="11"/>
        <v>248</v>
      </c>
      <c r="C257">
        <f t="shared" si="9"/>
        <v>289.69142357410783</v>
      </c>
      <c r="D257" t="str">
        <f t="shared" si="10"/>
        <v/>
      </c>
    </row>
    <row r="258" spans="1:4" x14ac:dyDescent="0.35">
      <c r="A258">
        <v>249</v>
      </c>
      <c r="B258">
        <f t="shared" si="11"/>
        <v>249</v>
      </c>
      <c r="C258">
        <f t="shared" si="9"/>
        <v>289.87316716022139</v>
      </c>
      <c r="D258" t="str">
        <f t="shared" si="10"/>
        <v/>
      </c>
    </row>
    <row r="259" spans="1:4" x14ac:dyDescent="0.35">
      <c r="A259">
        <v>250</v>
      </c>
      <c r="B259">
        <f t="shared" si="11"/>
        <v>250</v>
      </c>
      <c r="C259">
        <f t="shared" si="9"/>
        <v>290.05174808942598</v>
      </c>
      <c r="D259" t="str">
        <f t="shared" si="10"/>
        <v/>
      </c>
    </row>
    <row r="260" spans="1:4" x14ac:dyDescent="0.35">
      <c r="A260">
        <v>251</v>
      </c>
      <c r="B260">
        <f t="shared" si="11"/>
        <v>251</v>
      </c>
      <c r="C260">
        <f t="shared" si="9"/>
        <v>290.22721992428899</v>
      </c>
      <c r="D260" t="str">
        <f t="shared" si="10"/>
        <v/>
      </c>
    </row>
    <row r="261" spans="1:4" x14ac:dyDescent="0.35">
      <c r="A261">
        <v>252</v>
      </c>
      <c r="B261">
        <f t="shared" si="11"/>
        <v>252</v>
      </c>
      <c r="C261">
        <f t="shared" si="9"/>
        <v>290.39963537289088</v>
      </c>
      <c r="D261" t="str">
        <f t="shared" si="10"/>
        <v/>
      </c>
    </row>
    <row r="262" spans="1:4" x14ac:dyDescent="0.35">
      <c r="A262">
        <v>253</v>
      </c>
      <c r="B262">
        <f t="shared" si="11"/>
        <v>253</v>
      </c>
      <c r="C262">
        <f t="shared" si="9"/>
        <v>290.56904630053867</v>
      </c>
      <c r="D262" t="str">
        <f t="shared" si="10"/>
        <v/>
      </c>
    </row>
    <row r="263" spans="1:4" x14ac:dyDescent="0.35">
      <c r="A263">
        <v>254</v>
      </c>
      <c r="B263">
        <f t="shared" si="11"/>
        <v>254</v>
      </c>
      <c r="C263">
        <f t="shared" si="9"/>
        <v>290.73550374139217</v>
      </c>
      <c r="D263" t="str">
        <f t="shared" si="10"/>
        <v/>
      </c>
    </row>
    <row r="264" spans="1:4" x14ac:dyDescent="0.35">
      <c r="A264">
        <v>255</v>
      </c>
      <c r="B264">
        <f t="shared" si="11"/>
        <v>255</v>
      </c>
      <c r="C264">
        <f t="shared" si="9"/>
        <v>290.89905791000189</v>
      </c>
      <c r="D264" t="str">
        <f t="shared" si="10"/>
        <v/>
      </c>
    </row>
    <row r="265" spans="1:4" x14ac:dyDescent="0.35">
      <c r="A265">
        <v>256</v>
      </c>
      <c r="B265">
        <f t="shared" si="11"/>
        <v>256</v>
      </c>
      <c r="C265">
        <f t="shared" ref="C265:C328" si="12">POWER( POWER($B$4,1/4) * (1 - (1 - POWER($B$5,1/4) / POWER($B$4,1/4)) * EXP(- $B$2 * B265 / (4 * POWER($B$4,1/4)) ) ), 4)</f>
        <v>291.05975821275285</v>
      </c>
      <c r="D265" t="str">
        <f t="shared" ref="D265:D328" si="13">IF(B265=0,"m0 exact","")</f>
        <v/>
      </c>
    </row>
    <row r="266" spans="1:4" x14ac:dyDescent="0.35">
      <c r="A266">
        <v>257</v>
      </c>
      <c r="B266">
        <f t="shared" ref="B266:B329" si="14">B265 + $B$3</f>
        <v>257</v>
      </c>
      <c r="C266">
        <f t="shared" si="12"/>
        <v>291.21765325921422</v>
      </c>
      <c r="D266" t="str">
        <f t="shared" si="13"/>
        <v/>
      </c>
    </row>
    <row r="267" spans="1:4" x14ac:dyDescent="0.35">
      <c r="A267">
        <v>258</v>
      </c>
      <c r="B267">
        <f t="shared" si="14"/>
        <v>258</v>
      </c>
      <c r="C267">
        <f t="shared" si="12"/>
        <v>291.37279087339419</v>
      </c>
      <c r="D267" t="str">
        <f t="shared" si="13"/>
        <v/>
      </c>
    </row>
    <row r="268" spans="1:4" x14ac:dyDescent="0.35">
      <c r="A268">
        <v>259</v>
      </c>
      <c r="B268">
        <f t="shared" si="14"/>
        <v>259</v>
      </c>
      <c r="C268">
        <f t="shared" si="12"/>
        <v>291.52521810489503</v>
      </c>
      <c r="D268" t="str">
        <f t="shared" si="13"/>
        <v/>
      </c>
    </row>
    <row r="269" spans="1:4" x14ac:dyDescent="0.35">
      <c r="A269">
        <v>260</v>
      </c>
      <c r="B269">
        <f t="shared" si="14"/>
        <v>260</v>
      </c>
      <c r="C269">
        <f t="shared" si="12"/>
        <v>291.67498123996768</v>
      </c>
      <c r="D269" t="str">
        <f t="shared" si="13"/>
        <v/>
      </c>
    </row>
    <row r="270" spans="1:4" x14ac:dyDescent="0.35">
      <c r="A270">
        <v>261</v>
      </c>
      <c r="B270">
        <f t="shared" si="14"/>
        <v>261</v>
      </c>
      <c r="C270">
        <f t="shared" si="12"/>
        <v>291.8221258124666</v>
      </c>
      <c r="D270" t="str">
        <f t="shared" si="13"/>
        <v/>
      </c>
    </row>
    <row r="271" spans="1:4" x14ac:dyDescent="0.35">
      <c r="A271">
        <v>262</v>
      </c>
      <c r="B271">
        <f t="shared" si="14"/>
        <v>262</v>
      </c>
      <c r="C271">
        <f t="shared" si="12"/>
        <v>291.96669661470031</v>
      </c>
      <c r="D271" t="str">
        <f t="shared" si="13"/>
        <v/>
      </c>
    </row>
    <row r="272" spans="1:4" x14ac:dyDescent="0.35">
      <c r="A272">
        <v>263</v>
      </c>
      <c r="B272">
        <f t="shared" si="14"/>
        <v>263</v>
      </c>
      <c r="C272">
        <f t="shared" si="12"/>
        <v>292.10873770817665</v>
      </c>
      <c r="D272" t="str">
        <f t="shared" si="13"/>
        <v/>
      </c>
    </row>
    <row r="273" spans="1:4" x14ac:dyDescent="0.35">
      <c r="A273">
        <v>264</v>
      </c>
      <c r="B273">
        <f t="shared" si="14"/>
        <v>264</v>
      </c>
      <c r="C273">
        <f t="shared" si="12"/>
        <v>292.24829243424449</v>
      </c>
      <c r="D273" t="str">
        <f t="shared" si="13"/>
        <v/>
      </c>
    </row>
    <row r="274" spans="1:4" x14ac:dyDescent="0.35">
      <c r="A274">
        <v>265</v>
      </c>
      <c r="B274">
        <f t="shared" si="14"/>
        <v>265</v>
      </c>
      <c r="C274">
        <f t="shared" si="12"/>
        <v>292.38540342462716</v>
      </c>
      <c r="D274" t="str">
        <f t="shared" si="13"/>
        <v/>
      </c>
    </row>
    <row r="275" spans="1:4" x14ac:dyDescent="0.35">
      <c r="A275">
        <v>266</v>
      </c>
      <c r="B275">
        <f t="shared" si="14"/>
        <v>266</v>
      </c>
      <c r="C275">
        <f t="shared" si="12"/>
        <v>292.52011261184839</v>
      </c>
      <c r="D275" t="str">
        <f t="shared" si="13"/>
        <v/>
      </c>
    </row>
    <row r="276" spans="1:4" x14ac:dyDescent="0.35">
      <c r="A276">
        <v>267</v>
      </c>
      <c r="B276">
        <f t="shared" si="14"/>
        <v>267</v>
      </c>
      <c r="C276">
        <f t="shared" si="12"/>
        <v>292.65246123955205</v>
      </c>
      <c r="D276" t="str">
        <f t="shared" si="13"/>
        <v/>
      </c>
    </row>
    <row r="277" spans="1:4" x14ac:dyDescent="0.35">
      <c r="A277">
        <v>268</v>
      </c>
      <c r="B277">
        <f t="shared" si="14"/>
        <v>268</v>
      </c>
      <c r="C277">
        <f t="shared" si="12"/>
        <v>292.78248987270837</v>
      </c>
      <c r="D277" t="str">
        <f t="shared" si="13"/>
        <v/>
      </c>
    </row>
    <row r="278" spans="1:4" x14ac:dyDescent="0.35">
      <c r="A278">
        <v>269</v>
      </c>
      <c r="B278">
        <f t="shared" si="14"/>
        <v>269</v>
      </c>
      <c r="C278">
        <f t="shared" si="12"/>
        <v>292.91023840771533</v>
      </c>
      <c r="D278" t="str">
        <f t="shared" si="13"/>
        <v/>
      </c>
    </row>
    <row r="279" spans="1:4" x14ac:dyDescent="0.35">
      <c r="A279">
        <v>270</v>
      </c>
      <c r="B279">
        <f t="shared" si="14"/>
        <v>270</v>
      </c>
      <c r="C279">
        <f t="shared" si="12"/>
        <v>293.0357460823858</v>
      </c>
      <c r="D279" t="str">
        <f t="shared" si="13"/>
        <v/>
      </c>
    </row>
    <row r="280" spans="1:4" x14ac:dyDescent="0.35">
      <c r="A280">
        <v>271</v>
      </c>
      <c r="B280">
        <f t="shared" si="14"/>
        <v>271</v>
      </c>
      <c r="C280">
        <f t="shared" si="12"/>
        <v>293.15905148582652</v>
      </c>
      <c r="D280" t="str">
        <f t="shared" si="13"/>
        <v/>
      </c>
    </row>
    <row r="281" spans="1:4" x14ac:dyDescent="0.35">
      <c r="A281">
        <v>272</v>
      </c>
      <c r="B281">
        <f t="shared" si="14"/>
        <v>272</v>
      </c>
      <c r="C281">
        <f t="shared" si="12"/>
        <v>293.28019256820471</v>
      </c>
      <c r="D281" t="str">
        <f t="shared" si="13"/>
        <v/>
      </c>
    </row>
    <row r="282" spans="1:4" x14ac:dyDescent="0.35">
      <c r="A282">
        <v>273</v>
      </c>
      <c r="B282">
        <f t="shared" si="14"/>
        <v>273</v>
      </c>
      <c r="C282">
        <f t="shared" si="12"/>
        <v>293.39920665040302</v>
      </c>
      <c r="D282" t="str">
        <f t="shared" si="13"/>
        <v/>
      </c>
    </row>
    <row r="283" spans="1:4" x14ac:dyDescent="0.35">
      <c r="A283">
        <v>274</v>
      </c>
      <c r="B283">
        <f t="shared" si="14"/>
        <v>274</v>
      </c>
      <c r="C283">
        <f t="shared" si="12"/>
        <v>293.51613043356451</v>
      </c>
      <c r="D283" t="str">
        <f t="shared" si="13"/>
        <v/>
      </c>
    </row>
    <row r="284" spans="1:4" x14ac:dyDescent="0.35">
      <c r="A284">
        <v>275</v>
      </c>
      <c r="B284">
        <f t="shared" si="14"/>
        <v>275</v>
      </c>
      <c r="C284">
        <f t="shared" si="12"/>
        <v>293.63100000852501</v>
      </c>
      <c r="D284" t="str">
        <f t="shared" si="13"/>
        <v/>
      </c>
    </row>
    <row r="285" spans="1:4" x14ac:dyDescent="0.35">
      <c r="A285">
        <v>276</v>
      </c>
      <c r="B285">
        <f t="shared" si="14"/>
        <v>276</v>
      </c>
      <c r="C285">
        <f t="shared" si="12"/>
        <v>293.74385086513325</v>
      </c>
      <c r="D285" t="str">
        <f t="shared" si="13"/>
        <v/>
      </c>
    </row>
    <row r="286" spans="1:4" x14ac:dyDescent="0.35">
      <c r="A286">
        <v>277</v>
      </c>
      <c r="B286">
        <f t="shared" si="14"/>
        <v>277</v>
      </c>
      <c r="C286">
        <f t="shared" si="12"/>
        <v>293.85471790146107</v>
      </c>
      <c r="D286" t="str">
        <f t="shared" si="13"/>
        <v/>
      </c>
    </row>
    <row r="287" spans="1:4" x14ac:dyDescent="0.35">
      <c r="A287">
        <v>278</v>
      </c>
      <c r="B287">
        <f t="shared" si="14"/>
        <v>278</v>
      </c>
      <c r="C287">
        <f t="shared" si="12"/>
        <v>293.96363543290073</v>
      </c>
      <c r="D287" t="str">
        <f t="shared" si="13"/>
        <v/>
      </c>
    </row>
    <row r="288" spans="1:4" x14ac:dyDescent="0.35">
      <c r="A288">
        <v>279</v>
      </c>
      <c r="B288">
        <f t="shared" si="14"/>
        <v>279</v>
      </c>
      <c r="C288">
        <f t="shared" si="12"/>
        <v>294.07063720115025</v>
      </c>
      <c r="D288" t="str">
        <f t="shared" si="13"/>
        <v/>
      </c>
    </row>
    <row r="289" spans="1:4" x14ac:dyDescent="0.35">
      <c r="A289">
        <v>280</v>
      </c>
      <c r="B289">
        <f t="shared" si="14"/>
        <v>280</v>
      </c>
      <c r="C289">
        <f t="shared" si="12"/>
        <v>294.1757563830904</v>
      </c>
      <c r="D289" t="str">
        <f t="shared" si="13"/>
        <v/>
      </c>
    </row>
    <row r="290" spans="1:4" x14ac:dyDescent="0.35">
      <c r="A290">
        <v>281</v>
      </c>
      <c r="B290">
        <f t="shared" si="14"/>
        <v>281</v>
      </c>
      <c r="C290">
        <f t="shared" si="12"/>
        <v>294.27902559954867</v>
      </c>
      <c r="D290" t="str">
        <f t="shared" si="13"/>
        <v/>
      </c>
    </row>
    <row r="291" spans="1:4" x14ac:dyDescent="0.35">
      <c r="A291">
        <v>282</v>
      </c>
      <c r="B291">
        <f t="shared" si="14"/>
        <v>282</v>
      </c>
      <c r="C291">
        <f t="shared" si="12"/>
        <v>294.38047692395236</v>
      </c>
      <c r="D291" t="str">
        <f t="shared" si="13"/>
        <v/>
      </c>
    </row>
    <row r="292" spans="1:4" x14ac:dyDescent="0.35">
      <c r="A292">
        <v>283</v>
      </c>
      <c r="B292">
        <f t="shared" si="14"/>
        <v>283</v>
      </c>
      <c r="C292">
        <f t="shared" si="12"/>
        <v>294.48014189087411</v>
      </c>
      <c r="D292" t="str">
        <f t="shared" si="13"/>
        <v/>
      </c>
    </row>
    <row r="293" spans="1:4" x14ac:dyDescent="0.35">
      <c r="A293">
        <v>284</v>
      </c>
      <c r="B293">
        <f t="shared" si="14"/>
        <v>284</v>
      </c>
      <c r="C293">
        <f t="shared" si="12"/>
        <v>294.57805150446399</v>
      </c>
      <c r="D293" t="str">
        <f t="shared" si="13"/>
        <v/>
      </c>
    </row>
    <row r="294" spans="1:4" x14ac:dyDescent="0.35">
      <c r="A294">
        <v>285</v>
      </c>
      <c r="B294">
        <f t="shared" si="14"/>
        <v>285</v>
      </c>
      <c r="C294">
        <f t="shared" si="12"/>
        <v>294.67423624677656</v>
      </c>
      <c r="D294" t="str">
        <f t="shared" si="13"/>
        <v/>
      </c>
    </row>
    <row r="295" spans="1:4" x14ac:dyDescent="0.35">
      <c r="A295">
        <v>286</v>
      </c>
      <c r="B295">
        <f t="shared" si="14"/>
        <v>286</v>
      </c>
      <c r="C295">
        <f t="shared" si="12"/>
        <v>294.76872608598541</v>
      </c>
      <c r="D295" t="str">
        <f t="shared" si="13"/>
        <v/>
      </c>
    </row>
    <row r="296" spans="1:4" x14ac:dyDescent="0.35">
      <c r="A296">
        <v>287</v>
      </c>
      <c r="B296">
        <f t="shared" si="14"/>
        <v>287</v>
      </c>
      <c r="C296">
        <f t="shared" si="12"/>
        <v>294.86155048449365</v>
      </c>
      <c r="D296" t="str">
        <f t="shared" si="13"/>
        <v/>
      </c>
    </row>
    <row r="297" spans="1:4" x14ac:dyDescent="0.35">
      <c r="A297">
        <v>288</v>
      </c>
      <c r="B297">
        <f t="shared" si="14"/>
        <v>288</v>
      </c>
      <c r="C297">
        <f t="shared" si="12"/>
        <v>294.95273840693216</v>
      </c>
      <c r="D297" t="str">
        <f t="shared" si="13"/>
        <v/>
      </c>
    </row>
    <row r="298" spans="1:4" x14ac:dyDescent="0.35">
      <c r="A298">
        <v>289</v>
      </c>
      <c r="B298">
        <f t="shared" si="14"/>
        <v>289</v>
      </c>
      <c r="C298">
        <f t="shared" si="12"/>
        <v>295.04231832805465</v>
      </c>
      <c r="D298" t="str">
        <f t="shared" si="13"/>
        <v/>
      </c>
    </row>
    <row r="299" spans="1:4" x14ac:dyDescent="0.35">
      <c r="A299">
        <v>290</v>
      </c>
      <c r="B299">
        <f t="shared" si="14"/>
        <v>290</v>
      </c>
      <c r="C299">
        <f t="shared" si="12"/>
        <v>295.13031824052581</v>
      </c>
      <c r="D299" t="str">
        <f t="shared" si="13"/>
        <v/>
      </c>
    </row>
    <row r="300" spans="1:4" x14ac:dyDescent="0.35">
      <c r="A300">
        <v>291</v>
      </c>
      <c r="B300">
        <f t="shared" si="14"/>
        <v>291</v>
      </c>
      <c r="C300">
        <f t="shared" si="12"/>
        <v>295.21676566260169</v>
      </c>
      <c r="D300" t="str">
        <f t="shared" si="13"/>
        <v/>
      </c>
    </row>
    <row r="301" spans="1:4" x14ac:dyDescent="0.35">
      <c r="A301">
        <v>292</v>
      </c>
      <c r="B301">
        <f t="shared" si="14"/>
        <v>292</v>
      </c>
      <c r="C301">
        <f t="shared" si="12"/>
        <v>295.30168764570863</v>
      </c>
      <c r="D301" t="str">
        <f t="shared" si="13"/>
        <v/>
      </c>
    </row>
    <row r="302" spans="1:4" x14ac:dyDescent="0.35">
      <c r="A302">
        <v>293</v>
      </c>
      <c r="B302">
        <f t="shared" si="14"/>
        <v>293</v>
      </c>
      <c r="C302">
        <f t="shared" si="12"/>
        <v>295.38511078191561</v>
      </c>
      <c r="D302" t="str">
        <f t="shared" si="13"/>
        <v/>
      </c>
    </row>
    <row r="303" spans="1:4" x14ac:dyDescent="0.35">
      <c r="A303">
        <v>294</v>
      </c>
      <c r="B303">
        <f t="shared" si="14"/>
        <v>294</v>
      </c>
      <c r="C303">
        <f t="shared" si="12"/>
        <v>295.46706121130416</v>
      </c>
      <c r="D303" t="str">
        <f t="shared" si="13"/>
        <v/>
      </c>
    </row>
    <row r="304" spans="1:4" x14ac:dyDescent="0.35">
      <c r="A304">
        <v>295</v>
      </c>
      <c r="B304">
        <f t="shared" si="14"/>
        <v>295</v>
      </c>
      <c r="C304">
        <f t="shared" si="12"/>
        <v>295.54756462923586</v>
      </c>
      <c r="D304" t="str">
        <f t="shared" si="13"/>
        <v/>
      </c>
    </row>
    <row r="305" spans="1:4" x14ac:dyDescent="0.35">
      <c r="A305">
        <v>296</v>
      </c>
      <c r="B305">
        <f t="shared" si="14"/>
        <v>296</v>
      </c>
      <c r="C305">
        <f t="shared" si="12"/>
        <v>295.62664629351826</v>
      </c>
      <c r="D305" t="str">
        <f t="shared" si="13"/>
        <v/>
      </c>
    </row>
    <row r="306" spans="1:4" x14ac:dyDescent="0.35">
      <c r="A306">
        <v>297</v>
      </c>
      <c r="B306">
        <f t="shared" si="14"/>
        <v>297</v>
      </c>
      <c r="C306">
        <f t="shared" si="12"/>
        <v>295.7043310314686</v>
      </c>
      <c r="D306" t="str">
        <f t="shared" si="13"/>
        <v/>
      </c>
    </row>
    <row r="307" spans="1:4" x14ac:dyDescent="0.35">
      <c r="A307">
        <v>298</v>
      </c>
      <c r="B307">
        <f t="shared" si="14"/>
        <v>298</v>
      </c>
      <c r="C307">
        <f t="shared" si="12"/>
        <v>295.78064324688171</v>
      </c>
      <c r="D307" t="str">
        <f t="shared" si="13"/>
        <v/>
      </c>
    </row>
    <row r="308" spans="1:4" x14ac:dyDescent="0.35">
      <c r="A308">
        <v>299</v>
      </c>
      <c r="B308">
        <f t="shared" si="14"/>
        <v>299</v>
      </c>
      <c r="C308">
        <f t="shared" si="12"/>
        <v>295.85560692689171</v>
      </c>
      <c r="D308" t="str">
        <f t="shared" si="13"/>
        <v/>
      </c>
    </row>
    <row r="309" spans="1:4" x14ac:dyDescent="0.35">
      <c r="A309">
        <v>300</v>
      </c>
      <c r="B309">
        <f t="shared" si="14"/>
        <v>300</v>
      </c>
      <c r="C309">
        <f t="shared" si="12"/>
        <v>295.92924564874346</v>
      </c>
      <c r="D309" t="str">
        <f t="shared" si="13"/>
        <v/>
      </c>
    </row>
    <row r="310" spans="1:4" x14ac:dyDescent="0.35">
      <c r="A310">
        <v>301</v>
      </c>
      <c r="B310">
        <f t="shared" si="14"/>
        <v>301</v>
      </c>
      <c r="C310">
        <f t="shared" si="12"/>
        <v>296.00158258646007</v>
      </c>
      <c r="D310" t="str">
        <f t="shared" si="13"/>
        <v/>
      </c>
    </row>
    <row r="311" spans="1:4" x14ac:dyDescent="0.35">
      <c r="A311">
        <v>302</v>
      </c>
      <c r="B311">
        <f t="shared" si="14"/>
        <v>302</v>
      </c>
      <c r="C311">
        <f t="shared" si="12"/>
        <v>296.0726405174189</v>
      </c>
      <c r="D311" t="str">
        <f t="shared" si="13"/>
        <v/>
      </c>
    </row>
    <row r="312" spans="1:4" x14ac:dyDescent="0.35">
      <c r="A312">
        <v>303</v>
      </c>
      <c r="B312">
        <f t="shared" si="14"/>
        <v>303</v>
      </c>
      <c r="C312">
        <f t="shared" si="12"/>
        <v>296.14244182882834</v>
      </c>
      <c r="D312" t="str">
        <f t="shared" si="13"/>
        <v/>
      </c>
    </row>
    <row r="313" spans="1:4" x14ac:dyDescent="0.35">
      <c r="A313">
        <v>304</v>
      </c>
      <c r="B313">
        <f t="shared" si="14"/>
        <v>304</v>
      </c>
      <c r="C313">
        <f t="shared" si="12"/>
        <v>296.2110085241132</v>
      </c>
      <c r="D313" t="str">
        <f t="shared" si="13"/>
        <v/>
      </c>
    </row>
    <row r="314" spans="1:4" x14ac:dyDescent="0.35">
      <c r="A314">
        <v>305</v>
      </c>
      <c r="B314">
        <f t="shared" si="14"/>
        <v>305</v>
      </c>
      <c r="C314">
        <f t="shared" si="12"/>
        <v>296.27836222920411</v>
      </c>
      <c r="D314" t="str">
        <f t="shared" si="13"/>
        <v/>
      </c>
    </row>
    <row r="315" spans="1:4" x14ac:dyDescent="0.35">
      <c r="A315">
        <v>306</v>
      </c>
      <c r="B315">
        <f t="shared" si="14"/>
        <v>306</v>
      </c>
      <c r="C315">
        <f t="shared" si="12"/>
        <v>296.34452419873628</v>
      </c>
      <c r="D315" t="str">
        <f t="shared" si="13"/>
        <v/>
      </c>
    </row>
    <row r="316" spans="1:4" x14ac:dyDescent="0.35">
      <c r="A316">
        <v>307</v>
      </c>
      <c r="B316">
        <f t="shared" si="14"/>
        <v>307</v>
      </c>
      <c r="C316">
        <f t="shared" si="12"/>
        <v>296.40951532215456</v>
      </c>
      <c r="D316" t="str">
        <f t="shared" si="13"/>
        <v/>
      </c>
    </row>
    <row r="317" spans="1:4" x14ac:dyDescent="0.35">
      <c r="A317">
        <v>308</v>
      </c>
      <c r="B317">
        <f t="shared" si="14"/>
        <v>308</v>
      </c>
      <c r="C317">
        <f t="shared" si="12"/>
        <v>296.47335612973012</v>
      </c>
      <c r="D317" t="str">
        <f t="shared" si="13"/>
        <v/>
      </c>
    </row>
    <row r="318" spans="1:4" x14ac:dyDescent="0.35">
      <c r="A318">
        <v>309</v>
      </c>
      <c r="B318">
        <f t="shared" si="14"/>
        <v>309</v>
      </c>
      <c r="C318">
        <f t="shared" si="12"/>
        <v>296.53606679848502</v>
      </c>
      <c r="D318" t="str">
        <f t="shared" si="13"/>
        <v/>
      </c>
    </row>
    <row r="319" spans="1:4" x14ac:dyDescent="0.35">
      <c r="A319">
        <v>310</v>
      </c>
      <c r="B319">
        <f t="shared" si="14"/>
        <v>310</v>
      </c>
      <c r="C319">
        <f t="shared" si="12"/>
        <v>296.59766715803113</v>
      </c>
      <c r="D319" t="str">
        <f t="shared" si="13"/>
        <v/>
      </c>
    </row>
    <row r="320" spans="1:4" x14ac:dyDescent="0.35">
      <c r="A320">
        <v>311</v>
      </c>
      <c r="B320">
        <f t="shared" si="14"/>
        <v>311</v>
      </c>
      <c r="C320">
        <f t="shared" si="12"/>
        <v>296.6581766963173</v>
      </c>
      <c r="D320" t="str">
        <f t="shared" si="13"/>
        <v/>
      </c>
    </row>
    <row r="321" spans="1:4" x14ac:dyDescent="0.35">
      <c r="A321">
        <v>312</v>
      </c>
      <c r="B321">
        <f t="shared" si="14"/>
        <v>312</v>
      </c>
      <c r="C321">
        <f t="shared" si="12"/>
        <v>296.71761456529418</v>
      </c>
      <c r="D321" t="str">
        <f t="shared" si="13"/>
        <v/>
      </c>
    </row>
    <row r="322" spans="1:4" x14ac:dyDescent="0.35">
      <c r="A322">
        <v>313</v>
      </c>
      <c r="B322">
        <f t="shared" si="14"/>
        <v>313</v>
      </c>
      <c r="C322">
        <f t="shared" si="12"/>
        <v>296.77599958648989</v>
      </c>
      <c r="D322" t="str">
        <f t="shared" si="13"/>
        <v/>
      </c>
    </row>
    <row r="323" spans="1:4" x14ac:dyDescent="0.35">
      <c r="A323">
        <v>314</v>
      </c>
      <c r="B323">
        <f t="shared" si="14"/>
        <v>314</v>
      </c>
      <c r="C323">
        <f t="shared" si="12"/>
        <v>296.83335025650234</v>
      </c>
      <c r="D323" t="str">
        <f t="shared" si="13"/>
        <v/>
      </c>
    </row>
    <row r="324" spans="1:4" x14ac:dyDescent="0.35">
      <c r="A324">
        <v>315</v>
      </c>
      <c r="B324">
        <f t="shared" si="14"/>
        <v>315</v>
      </c>
      <c r="C324">
        <f t="shared" si="12"/>
        <v>296.88968475240881</v>
      </c>
      <c r="D324" t="str">
        <f t="shared" si="13"/>
        <v/>
      </c>
    </row>
    <row r="325" spans="1:4" x14ac:dyDescent="0.35">
      <c r="A325">
        <v>316</v>
      </c>
      <c r="B325">
        <f t="shared" si="14"/>
        <v>316</v>
      </c>
      <c r="C325">
        <f t="shared" si="12"/>
        <v>296.94502093708951</v>
      </c>
      <c r="D325" t="str">
        <f t="shared" si="13"/>
        <v/>
      </c>
    </row>
    <row r="326" spans="1:4" x14ac:dyDescent="0.35">
      <c r="A326">
        <v>317</v>
      </c>
      <c r="B326">
        <f t="shared" si="14"/>
        <v>317</v>
      </c>
      <c r="C326">
        <f t="shared" si="12"/>
        <v>296.99937636447436</v>
      </c>
      <c r="D326" t="str">
        <f t="shared" si="13"/>
        <v/>
      </c>
    </row>
    <row r="327" spans="1:4" x14ac:dyDescent="0.35">
      <c r="A327">
        <v>318</v>
      </c>
      <c r="B327">
        <f t="shared" si="14"/>
        <v>318</v>
      </c>
      <c r="C327">
        <f t="shared" si="12"/>
        <v>297.05276828470375</v>
      </c>
      <c r="D327" t="str">
        <f t="shared" si="13"/>
        <v/>
      </c>
    </row>
    <row r="328" spans="1:4" x14ac:dyDescent="0.35">
      <c r="A328">
        <v>319</v>
      </c>
      <c r="B328">
        <f t="shared" si="14"/>
        <v>319</v>
      </c>
      <c r="C328">
        <f t="shared" si="12"/>
        <v>297.10521364921368</v>
      </c>
      <c r="D328" t="str">
        <f t="shared" si="13"/>
        <v/>
      </c>
    </row>
    <row r="329" spans="1:4" x14ac:dyDescent="0.35">
      <c r="A329">
        <v>320</v>
      </c>
      <c r="B329">
        <f t="shared" si="14"/>
        <v>320</v>
      </c>
      <c r="C329">
        <f t="shared" ref="C329:C392" si="15">POWER( POWER($B$4,1/4) * (1 - (1 - POWER($B$5,1/4) / POWER($B$4,1/4)) * EXP(- $B$2 * B329 / (4 * POWER($B$4,1/4)) ) ), 4)</f>
        <v>297.15672911573921</v>
      </c>
      <c r="D329" t="str">
        <f t="shared" ref="D329:D392" si="16">IF(B329=0,"m0 exact","")</f>
        <v/>
      </c>
    </row>
    <row r="330" spans="1:4" x14ac:dyDescent="0.35">
      <c r="A330">
        <v>321</v>
      </c>
      <c r="B330">
        <f t="shared" ref="B330:B393" si="17">B329 + $B$3</f>
        <v>321</v>
      </c>
      <c r="C330">
        <f t="shared" si="15"/>
        <v>297.20733105324172</v>
      </c>
      <c r="D330" t="str">
        <f t="shared" si="16"/>
        <v/>
      </c>
    </row>
    <row r="331" spans="1:4" x14ac:dyDescent="0.35">
      <c r="A331">
        <v>322</v>
      </c>
      <c r="B331">
        <f t="shared" si="17"/>
        <v>322</v>
      </c>
      <c r="C331">
        <f t="shared" si="15"/>
        <v>297.25703554675988</v>
      </c>
      <c r="D331" t="str">
        <f t="shared" si="16"/>
        <v/>
      </c>
    </row>
    <row r="332" spans="1:4" x14ac:dyDescent="0.35">
      <c r="A332">
        <v>323</v>
      </c>
      <c r="B332">
        <f t="shared" si="17"/>
        <v>323</v>
      </c>
      <c r="C332">
        <f t="shared" si="15"/>
        <v>297.30585840218259</v>
      </c>
      <c r="D332" t="str">
        <f t="shared" si="16"/>
        <v/>
      </c>
    </row>
    <row r="333" spans="1:4" x14ac:dyDescent="0.35">
      <c r="A333">
        <v>324</v>
      </c>
      <c r="B333">
        <f t="shared" si="17"/>
        <v>324</v>
      </c>
      <c r="C333">
        <f t="shared" si="15"/>
        <v>297.35381515094929</v>
      </c>
      <c r="D333" t="str">
        <f t="shared" si="16"/>
        <v/>
      </c>
    </row>
    <row r="334" spans="1:4" x14ac:dyDescent="0.35">
      <c r="A334">
        <v>325</v>
      </c>
      <c r="B334">
        <f t="shared" si="17"/>
        <v>325</v>
      </c>
      <c r="C334">
        <f t="shared" si="15"/>
        <v>297.40092105467448</v>
      </c>
      <c r="D334" t="str">
        <f t="shared" si="16"/>
        <v/>
      </c>
    </row>
    <row r="335" spans="1:4" x14ac:dyDescent="0.35">
      <c r="A335">
        <v>326</v>
      </c>
      <c r="B335">
        <f t="shared" si="17"/>
        <v>326</v>
      </c>
      <c r="C335">
        <f t="shared" si="15"/>
        <v>297.44719110970141</v>
      </c>
      <c r="D335" t="str">
        <f t="shared" si="16"/>
        <v/>
      </c>
    </row>
    <row r="336" spans="1:4" x14ac:dyDescent="0.35">
      <c r="A336">
        <v>327</v>
      </c>
      <c r="B336">
        <f t="shared" si="17"/>
        <v>327</v>
      </c>
      <c r="C336">
        <f t="shared" si="15"/>
        <v>297.49264005158238</v>
      </c>
      <c r="D336" t="str">
        <f t="shared" si="16"/>
        <v/>
      </c>
    </row>
    <row r="337" spans="1:4" x14ac:dyDescent="0.35">
      <c r="A337">
        <v>328</v>
      </c>
      <c r="B337">
        <f t="shared" si="17"/>
        <v>328</v>
      </c>
      <c r="C337">
        <f t="shared" si="15"/>
        <v>297.53728235948802</v>
      </c>
      <c r="D337" t="str">
        <f t="shared" si="16"/>
        <v/>
      </c>
    </row>
    <row r="338" spans="1:4" x14ac:dyDescent="0.35">
      <c r="A338">
        <v>329</v>
      </c>
      <c r="B338">
        <f t="shared" si="17"/>
        <v>329</v>
      </c>
      <c r="C338">
        <f t="shared" si="15"/>
        <v>297.58113226054712</v>
      </c>
      <c r="D338" t="str">
        <f t="shared" si="16"/>
        <v/>
      </c>
    </row>
    <row r="339" spans="1:4" x14ac:dyDescent="0.35">
      <c r="A339">
        <v>330</v>
      </c>
      <c r="B339">
        <f t="shared" si="17"/>
        <v>330</v>
      </c>
      <c r="C339">
        <f t="shared" si="15"/>
        <v>297.62420373411709</v>
      </c>
      <c r="D339" t="str">
        <f t="shared" si="16"/>
        <v/>
      </c>
    </row>
    <row r="340" spans="1:4" x14ac:dyDescent="0.35">
      <c r="A340">
        <v>331</v>
      </c>
      <c r="B340">
        <f t="shared" si="17"/>
        <v>331</v>
      </c>
      <c r="C340">
        <f t="shared" si="15"/>
        <v>297.66651051598762</v>
      </c>
      <c r="D340" t="str">
        <f t="shared" si="16"/>
        <v/>
      </c>
    </row>
    <row r="341" spans="1:4" x14ac:dyDescent="0.35">
      <c r="A341">
        <v>332</v>
      </c>
      <c r="B341">
        <f t="shared" si="17"/>
        <v>332</v>
      </c>
      <c r="C341">
        <f t="shared" si="15"/>
        <v>297.70806610251293</v>
      </c>
      <c r="D341" t="str">
        <f t="shared" si="16"/>
        <v/>
      </c>
    </row>
    <row r="342" spans="1:4" x14ac:dyDescent="0.35">
      <c r="A342">
        <v>333</v>
      </c>
      <c r="B342">
        <f t="shared" si="17"/>
        <v>333</v>
      </c>
      <c r="C342">
        <f t="shared" si="15"/>
        <v>297.74888375468305</v>
      </c>
      <c r="D342" t="str">
        <f t="shared" si="16"/>
        <v/>
      </c>
    </row>
    <row r="343" spans="1:4" x14ac:dyDescent="0.35">
      <c r="A343">
        <v>334</v>
      </c>
      <c r="B343">
        <f t="shared" si="17"/>
        <v>334</v>
      </c>
      <c r="C343">
        <f t="shared" si="15"/>
        <v>297.78897650212781</v>
      </c>
      <c r="D343" t="str">
        <f t="shared" si="16"/>
        <v/>
      </c>
    </row>
    <row r="344" spans="1:4" x14ac:dyDescent="0.35">
      <c r="A344">
        <v>335</v>
      </c>
      <c r="B344">
        <f t="shared" si="17"/>
        <v>335</v>
      </c>
      <c r="C344">
        <f t="shared" si="15"/>
        <v>297.82835714705277</v>
      </c>
      <c r="D344" t="str">
        <f t="shared" si="16"/>
        <v/>
      </c>
    </row>
    <row r="345" spans="1:4" x14ac:dyDescent="0.35">
      <c r="A345">
        <v>336</v>
      </c>
      <c r="B345">
        <f t="shared" si="17"/>
        <v>336</v>
      </c>
      <c r="C345">
        <f t="shared" si="15"/>
        <v>297.8670382681176</v>
      </c>
      <c r="D345" t="str">
        <f t="shared" si="16"/>
        <v/>
      </c>
    </row>
    <row r="346" spans="1:4" x14ac:dyDescent="0.35">
      <c r="A346">
        <v>337</v>
      </c>
      <c r="B346">
        <f t="shared" si="17"/>
        <v>337</v>
      </c>
      <c r="C346">
        <f t="shared" si="15"/>
        <v>297.90503222424815</v>
      </c>
      <c r="D346" t="str">
        <f t="shared" si="16"/>
        <v/>
      </c>
    </row>
    <row r="347" spans="1:4" x14ac:dyDescent="0.35">
      <c r="A347">
        <v>338</v>
      </c>
      <c r="B347">
        <f t="shared" si="17"/>
        <v>338</v>
      </c>
      <c r="C347">
        <f t="shared" si="15"/>
        <v>297.94235115838609</v>
      </c>
      <c r="D347" t="str">
        <f t="shared" si="16"/>
        <v/>
      </c>
    </row>
    <row r="348" spans="1:4" x14ac:dyDescent="0.35">
      <c r="A348">
        <v>339</v>
      </c>
      <c r="B348">
        <f t="shared" si="17"/>
        <v>339</v>
      </c>
      <c r="C348">
        <f t="shared" si="15"/>
        <v>297.97900700118169</v>
      </c>
      <c r="D348" t="str">
        <f t="shared" si="16"/>
        <v/>
      </c>
    </row>
    <row r="349" spans="1:4" x14ac:dyDescent="0.35">
      <c r="A349">
        <v>340</v>
      </c>
      <c r="B349">
        <f t="shared" si="17"/>
        <v>340</v>
      </c>
      <c r="C349">
        <f t="shared" si="15"/>
        <v>298.01501147462045</v>
      </c>
      <c r="D349" t="str">
        <f t="shared" si="16"/>
        <v/>
      </c>
    </row>
    <row r="350" spans="1:4" x14ac:dyDescent="0.35">
      <c r="A350">
        <v>341</v>
      </c>
      <c r="B350">
        <f t="shared" si="17"/>
        <v>341</v>
      </c>
      <c r="C350">
        <f t="shared" si="15"/>
        <v>298.05037609559781</v>
      </c>
      <c r="D350" t="str">
        <f t="shared" si="16"/>
        <v/>
      </c>
    </row>
    <row r="351" spans="1:4" x14ac:dyDescent="0.35">
      <c r="A351">
        <v>342</v>
      </c>
      <c r="B351">
        <f t="shared" si="17"/>
        <v>342</v>
      </c>
      <c r="C351">
        <f t="shared" si="15"/>
        <v>298.08511217942907</v>
      </c>
      <c r="D351" t="str">
        <f t="shared" si="16"/>
        <v/>
      </c>
    </row>
    <row r="352" spans="1:4" x14ac:dyDescent="0.35">
      <c r="A352">
        <v>343</v>
      </c>
      <c r="B352">
        <f t="shared" si="17"/>
        <v>343</v>
      </c>
      <c r="C352">
        <f t="shared" si="15"/>
        <v>298.11923084330522</v>
      </c>
      <c r="D352" t="str">
        <f t="shared" si="16"/>
        <v/>
      </c>
    </row>
    <row r="353" spans="1:4" x14ac:dyDescent="0.35">
      <c r="A353">
        <v>344</v>
      </c>
      <c r="B353">
        <f t="shared" si="17"/>
        <v>344</v>
      </c>
      <c r="C353">
        <f t="shared" si="15"/>
        <v>298.15274300969287</v>
      </c>
      <c r="D353" t="str">
        <f t="shared" si="16"/>
        <v/>
      </c>
    </row>
    <row r="354" spans="1:4" x14ac:dyDescent="0.35">
      <c r="A354">
        <v>345</v>
      </c>
      <c r="B354">
        <f t="shared" si="17"/>
        <v>345</v>
      </c>
      <c r="C354">
        <f t="shared" si="15"/>
        <v>298.18565940967522</v>
      </c>
      <c r="D354" t="str">
        <f t="shared" si="16"/>
        <v/>
      </c>
    </row>
    <row r="355" spans="1:4" x14ac:dyDescent="0.35">
      <c r="A355">
        <v>346</v>
      </c>
      <c r="B355">
        <f t="shared" si="17"/>
        <v>346</v>
      </c>
      <c r="C355">
        <f t="shared" si="15"/>
        <v>298.21799058624117</v>
      </c>
      <c r="D355" t="str">
        <f t="shared" si="16"/>
        <v/>
      </c>
    </row>
    <row r="356" spans="1:4" x14ac:dyDescent="0.35">
      <c r="A356">
        <v>347</v>
      </c>
      <c r="B356">
        <f t="shared" si="17"/>
        <v>347</v>
      </c>
      <c r="C356">
        <f t="shared" si="15"/>
        <v>298.24974689751843</v>
      </c>
      <c r="D356" t="str">
        <f t="shared" si="16"/>
        <v/>
      </c>
    </row>
    <row r="357" spans="1:4" x14ac:dyDescent="0.35">
      <c r="A357">
        <v>348</v>
      </c>
      <c r="B357">
        <f t="shared" si="17"/>
        <v>348</v>
      </c>
      <c r="C357">
        <f t="shared" si="15"/>
        <v>298.28093851995476</v>
      </c>
      <c r="D357" t="str">
        <f t="shared" si="16"/>
        <v/>
      </c>
    </row>
    <row r="358" spans="1:4" x14ac:dyDescent="0.35">
      <c r="A358">
        <v>349</v>
      </c>
      <c r="B358">
        <f t="shared" si="17"/>
        <v>349</v>
      </c>
      <c r="C358">
        <f t="shared" si="15"/>
        <v>298.31157545144464</v>
      </c>
      <c r="D358" t="str">
        <f t="shared" si="16"/>
        <v/>
      </c>
    </row>
    <row r="359" spans="1:4" x14ac:dyDescent="0.35">
      <c r="A359">
        <v>350</v>
      </c>
      <c r="B359">
        <f t="shared" si="17"/>
        <v>350</v>
      </c>
      <c r="C359">
        <f t="shared" si="15"/>
        <v>298.34166751440654</v>
      </c>
      <c r="D359" t="str">
        <f t="shared" si="16"/>
        <v/>
      </c>
    </row>
    <row r="360" spans="1:4" x14ac:dyDescent="0.35">
      <c r="A360">
        <v>351</v>
      </c>
      <c r="B360">
        <f t="shared" si="17"/>
        <v>351</v>
      </c>
      <c r="C360">
        <f t="shared" si="15"/>
        <v>298.37122435880713</v>
      </c>
      <c r="D360" t="str">
        <f t="shared" si="16"/>
        <v/>
      </c>
    </row>
    <row r="361" spans="1:4" x14ac:dyDescent="0.35">
      <c r="A361">
        <v>352</v>
      </c>
      <c r="B361">
        <f t="shared" si="17"/>
        <v>352</v>
      </c>
      <c r="C361">
        <f t="shared" si="15"/>
        <v>298.40025546513726</v>
      </c>
      <c r="D361" t="str">
        <f t="shared" si="16"/>
        <v/>
      </c>
    </row>
    <row r="362" spans="1:4" x14ac:dyDescent="0.35">
      <c r="A362">
        <v>353</v>
      </c>
      <c r="B362">
        <f t="shared" si="17"/>
        <v>353</v>
      </c>
      <c r="C362">
        <f t="shared" si="15"/>
        <v>298.42877014733648</v>
      </c>
      <c r="D362" t="str">
        <f t="shared" si="16"/>
        <v/>
      </c>
    </row>
    <row r="363" spans="1:4" x14ac:dyDescent="0.35">
      <c r="A363">
        <v>354</v>
      </c>
      <c r="B363">
        <f t="shared" si="17"/>
        <v>354</v>
      </c>
      <c r="C363">
        <f t="shared" si="15"/>
        <v>298.45677755567124</v>
      </c>
      <c r="D363" t="str">
        <f t="shared" si="16"/>
        <v/>
      </c>
    </row>
    <row r="364" spans="1:4" x14ac:dyDescent="0.35">
      <c r="A364">
        <v>355</v>
      </c>
      <c r="B364">
        <f t="shared" si="17"/>
        <v>355</v>
      </c>
      <c r="C364">
        <f t="shared" si="15"/>
        <v>298.48428667956154</v>
      </c>
      <c r="D364" t="str">
        <f t="shared" si="16"/>
        <v/>
      </c>
    </row>
    <row r="365" spans="1:4" x14ac:dyDescent="0.35">
      <c r="A365">
        <v>356</v>
      </c>
      <c r="B365">
        <f t="shared" si="17"/>
        <v>356</v>
      </c>
      <c r="C365">
        <f t="shared" si="15"/>
        <v>298.51130635036566</v>
      </c>
      <c r="D365" t="str">
        <f t="shared" si="16"/>
        <v/>
      </c>
    </row>
    <row r="366" spans="1:4" x14ac:dyDescent="0.35">
      <c r="A366">
        <v>357</v>
      </c>
      <c r="B366">
        <f t="shared" si="17"/>
        <v>357</v>
      </c>
      <c r="C366">
        <f t="shared" si="15"/>
        <v>298.53784524411253</v>
      </c>
      <c r="D366" t="str">
        <f t="shared" si="16"/>
        <v/>
      </c>
    </row>
    <row r="367" spans="1:4" x14ac:dyDescent="0.35">
      <c r="A367">
        <v>358</v>
      </c>
      <c r="B367">
        <f t="shared" si="17"/>
        <v>358</v>
      </c>
      <c r="C367">
        <f t="shared" si="15"/>
        <v>298.56391188419332</v>
      </c>
      <c r="D367" t="str">
        <f t="shared" si="16"/>
        <v/>
      </c>
    </row>
    <row r="368" spans="1:4" x14ac:dyDescent="0.35">
      <c r="A368">
        <v>359</v>
      </c>
      <c r="B368">
        <f t="shared" si="17"/>
        <v>359</v>
      </c>
      <c r="C368">
        <f t="shared" si="15"/>
        <v>298.58951464400496</v>
      </c>
      <c r="D368" t="str">
        <f t="shared" si="16"/>
        <v/>
      </c>
    </row>
    <row r="369" spans="1:4" x14ac:dyDescent="0.35">
      <c r="A369">
        <v>360</v>
      </c>
      <c r="B369">
        <f t="shared" si="17"/>
        <v>360</v>
      </c>
      <c r="C369">
        <f t="shared" si="15"/>
        <v>298.6146617495499</v>
      </c>
      <c r="D369" t="str">
        <f t="shared" si="16"/>
        <v/>
      </c>
    </row>
    <row r="370" spans="1:4" x14ac:dyDescent="0.35">
      <c r="A370">
        <v>361</v>
      </c>
      <c r="B370">
        <f t="shared" si="17"/>
        <v>361</v>
      </c>
      <c r="C370">
        <f t="shared" si="15"/>
        <v>298.63936128199327</v>
      </c>
      <c r="D370" t="str">
        <f t="shared" si="16"/>
        <v/>
      </c>
    </row>
    <row r="371" spans="1:4" x14ac:dyDescent="0.35">
      <c r="A371">
        <v>362</v>
      </c>
      <c r="B371">
        <f t="shared" si="17"/>
        <v>362</v>
      </c>
      <c r="C371">
        <f t="shared" si="15"/>
        <v>298.66362118017571</v>
      </c>
      <c r="D371" t="str">
        <f t="shared" si="16"/>
        <v/>
      </c>
    </row>
    <row r="372" spans="1:4" x14ac:dyDescent="0.35">
      <c r="A372">
        <v>363</v>
      </c>
      <c r="B372">
        <f t="shared" si="17"/>
        <v>363</v>
      </c>
      <c r="C372">
        <f t="shared" si="15"/>
        <v>298.68744924308567</v>
      </c>
      <c r="D372" t="str">
        <f t="shared" si="16"/>
        <v/>
      </c>
    </row>
    <row r="373" spans="1:4" x14ac:dyDescent="0.35">
      <c r="A373">
        <v>364</v>
      </c>
      <c r="B373">
        <f t="shared" si="17"/>
        <v>364</v>
      </c>
      <c r="C373">
        <f t="shared" si="15"/>
        <v>298.71085313228696</v>
      </c>
      <c r="D373" t="str">
        <f t="shared" si="16"/>
        <v/>
      </c>
    </row>
    <row r="374" spans="1:4" x14ac:dyDescent="0.35">
      <c r="A374">
        <v>365</v>
      </c>
      <c r="B374">
        <f t="shared" si="17"/>
        <v>365</v>
      </c>
      <c r="C374">
        <f t="shared" si="15"/>
        <v>298.73384037430918</v>
      </c>
      <c r="D374" t="str">
        <f t="shared" si="16"/>
        <v/>
      </c>
    </row>
    <row r="375" spans="1:4" x14ac:dyDescent="0.35">
      <c r="A375">
        <v>366</v>
      </c>
      <c r="B375">
        <f t="shared" si="17"/>
        <v>366</v>
      </c>
      <c r="C375">
        <f t="shared" si="15"/>
        <v>298.75641836299474</v>
      </c>
      <c r="D375" t="str">
        <f t="shared" si="16"/>
        <v/>
      </c>
    </row>
    <row r="376" spans="1:4" x14ac:dyDescent="0.35">
      <c r="A376">
        <v>367</v>
      </c>
      <c r="B376">
        <f t="shared" si="17"/>
        <v>367</v>
      </c>
      <c r="C376">
        <f t="shared" si="15"/>
        <v>298.77859436180785</v>
      </c>
      <c r="D376" t="str">
        <f t="shared" si="16"/>
        <v/>
      </c>
    </row>
    <row r="377" spans="1:4" x14ac:dyDescent="0.35">
      <c r="A377">
        <v>368</v>
      </c>
      <c r="B377">
        <f t="shared" si="17"/>
        <v>368</v>
      </c>
      <c r="C377">
        <f t="shared" si="15"/>
        <v>298.80037550610353</v>
      </c>
      <c r="D377" t="str">
        <f t="shared" si="16"/>
        <v/>
      </c>
    </row>
    <row r="378" spans="1:4" x14ac:dyDescent="0.35">
      <c r="A378">
        <v>369</v>
      </c>
      <c r="B378">
        <f t="shared" si="17"/>
        <v>369</v>
      </c>
      <c r="C378">
        <f t="shared" si="15"/>
        <v>298.82176880535945</v>
      </c>
      <c r="D378" t="str">
        <f t="shared" si="16"/>
        <v/>
      </c>
    </row>
    <row r="379" spans="1:4" x14ac:dyDescent="0.35">
      <c r="A379">
        <v>370</v>
      </c>
      <c r="B379">
        <f t="shared" si="17"/>
        <v>370</v>
      </c>
      <c r="C379">
        <f t="shared" si="15"/>
        <v>298.84278114536744</v>
      </c>
      <c r="D379" t="str">
        <f t="shared" si="16"/>
        <v/>
      </c>
    </row>
    <row r="380" spans="1:4" x14ac:dyDescent="0.35">
      <c r="A380">
        <v>371</v>
      </c>
      <c r="B380">
        <f t="shared" si="17"/>
        <v>371</v>
      </c>
      <c r="C380">
        <f t="shared" si="15"/>
        <v>298.86341929039139</v>
      </c>
      <c r="D380" t="str">
        <f t="shared" si="16"/>
        <v/>
      </c>
    </row>
    <row r="381" spans="1:4" x14ac:dyDescent="0.35">
      <c r="A381">
        <v>372</v>
      </c>
      <c r="B381">
        <f t="shared" si="17"/>
        <v>372</v>
      </c>
      <c r="C381">
        <f t="shared" si="15"/>
        <v>298.88368988528549</v>
      </c>
      <c r="D381" t="str">
        <f t="shared" si="16"/>
        <v/>
      </c>
    </row>
    <row r="382" spans="1:4" x14ac:dyDescent="0.35">
      <c r="A382">
        <v>373</v>
      </c>
      <c r="B382">
        <f t="shared" si="17"/>
        <v>373</v>
      </c>
      <c r="C382">
        <f t="shared" si="15"/>
        <v>298.90359945757672</v>
      </c>
      <c r="D382" t="str">
        <f t="shared" si="16"/>
        <v/>
      </c>
    </row>
    <row r="383" spans="1:4" x14ac:dyDescent="0.35">
      <c r="A383">
        <v>374</v>
      </c>
      <c r="B383">
        <f t="shared" si="17"/>
        <v>374</v>
      </c>
      <c r="C383">
        <f t="shared" si="15"/>
        <v>298.92315441951411</v>
      </c>
      <c r="D383" t="str">
        <f t="shared" si="16"/>
        <v/>
      </c>
    </row>
    <row r="384" spans="1:4" x14ac:dyDescent="0.35">
      <c r="A384">
        <v>375</v>
      </c>
      <c r="B384">
        <f t="shared" si="17"/>
        <v>375</v>
      </c>
      <c r="C384">
        <f t="shared" si="15"/>
        <v>298.94236107008101</v>
      </c>
      <c r="D384" t="str">
        <f t="shared" si="16"/>
        <v/>
      </c>
    </row>
    <row r="385" spans="1:4" x14ac:dyDescent="0.35">
      <c r="A385">
        <v>376</v>
      </c>
      <c r="B385">
        <f t="shared" si="17"/>
        <v>376</v>
      </c>
      <c r="C385">
        <f t="shared" si="15"/>
        <v>298.96122559697335</v>
      </c>
      <c r="D385" t="str">
        <f t="shared" si="16"/>
        <v/>
      </c>
    </row>
    <row r="386" spans="1:4" x14ac:dyDescent="0.35">
      <c r="A386">
        <v>377</v>
      </c>
      <c r="B386">
        <f t="shared" si="17"/>
        <v>377</v>
      </c>
      <c r="C386">
        <f t="shared" si="15"/>
        <v>298.97975407854432</v>
      </c>
      <c r="D386" t="str">
        <f t="shared" si="16"/>
        <v/>
      </c>
    </row>
    <row r="387" spans="1:4" x14ac:dyDescent="0.35">
      <c r="A387">
        <v>378</v>
      </c>
      <c r="B387">
        <f t="shared" si="17"/>
        <v>378</v>
      </c>
      <c r="C387">
        <f t="shared" si="15"/>
        <v>298.99795248571684</v>
      </c>
      <c r="D387" t="str">
        <f t="shared" si="16"/>
        <v/>
      </c>
    </row>
    <row r="388" spans="1:4" x14ac:dyDescent="0.35">
      <c r="A388">
        <v>379</v>
      </c>
      <c r="B388">
        <f t="shared" si="17"/>
        <v>379</v>
      </c>
      <c r="C388">
        <f t="shared" si="15"/>
        <v>299.01582668386203</v>
      </c>
      <c r="D388" t="str">
        <f t="shared" si="16"/>
        <v/>
      </c>
    </row>
    <row r="389" spans="1:4" x14ac:dyDescent="0.35">
      <c r="A389">
        <v>380</v>
      </c>
      <c r="B389">
        <f t="shared" si="17"/>
        <v>380</v>
      </c>
      <c r="C389">
        <f t="shared" si="15"/>
        <v>299.03338243464492</v>
      </c>
      <c r="D389" t="str">
        <f t="shared" si="16"/>
        <v/>
      </c>
    </row>
    <row r="390" spans="1:4" x14ac:dyDescent="0.35">
      <c r="A390">
        <v>381</v>
      </c>
      <c r="B390">
        <f t="shared" si="17"/>
        <v>381</v>
      </c>
      <c r="C390">
        <f t="shared" si="15"/>
        <v>299.05062539784075</v>
      </c>
      <c r="D390" t="str">
        <f t="shared" si="16"/>
        <v/>
      </c>
    </row>
    <row r="391" spans="1:4" x14ac:dyDescent="0.35">
      <c r="A391">
        <v>382</v>
      </c>
      <c r="B391">
        <f t="shared" si="17"/>
        <v>382</v>
      </c>
      <c r="C391">
        <f t="shared" si="15"/>
        <v>299.06756113311894</v>
      </c>
      <c r="D391" t="str">
        <f t="shared" si="16"/>
        <v/>
      </c>
    </row>
    <row r="392" spans="1:4" x14ac:dyDescent="0.35">
      <c r="A392">
        <v>383</v>
      </c>
      <c r="B392">
        <f t="shared" si="17"/>
        <v>383</v>
      </c>
      <c r="C392">
        <f t="shared" si="15"/>
        <v>299.08419510179584</v>
      </c>
      <c r="D392" t="str">
        <f t="shared" si="16"/>
        <v/>
      </c>
    </row>
    <row r="393" spans="1:4" x14ac:dyDescent="0.35">
      <c r="A393">
        <v>384</v>
      </c>
      <c r="B393">
        <f t="shared" si="17"/>
        <v>384</v>
      </c>
      <c r="C393">
        <f t="shared" ref="C393:C456" si="18">POWER( POWER($B$4,1/4) * (1 - (1 - POWER($B$5,1/4) / POWER($B$4,1/4)) * EXP(- $B$2 * B393 / (4 * POWER($B$4,1/4)) ) ), 4)</f>
        <v>299.10053266855851</v>
      </c>
      <c r="D393" t="str">
        <f t="shared" ref="D393:D409" si="19">IF(B393=0,"m0 exact","")</f>
        <v/>
      </c>
    </row>
    <row r="394" spans="1:4" x14ac:dyDescent="0.35">
      <c r="A394">
        <v>385</v>
      </c>
      <c r="B394">
        <f t="shared" ref="B394:B409" si="20">B393 + $B$3</f>
        <v>385</v>
      </c>
      <c r="C394">
        <f t="shared" si="18"/>
        <v>299.11657910315739</v>
      </c>
      <c r="D394" t="str">
        <f t="shared" si="19"/>
        <v/>
      </c>
    </row>
    <row r="395" spans="1:4" x14ac:dyDescent="0.35">
      <c r="A395">
        <v>386</v>
      </c>
      <c r="B395">
        <f t="shared" si="20"/>
        <v>386</v>
      </c>
      <c r="C395">
        <f t="shared" si="18"/>
        <v>299.13233958207309</v>
      </c>
      <c r="D395" t="str">
        <f t="shared" si="19"/>
        <v/>
      </c>
    </row>
    <row r="396" spans="1:4" x14ac:dyDescent="0.35">
      <c r="A396">
        <v>387</v>
      </c>
      <c r="B396">
        <f t="shared" si="20"/>
        <v>387</v>
      </c>
      <c r="C396">
        <f t="shared" si="18"/>
        <v>299.14781919014985</v>
      </c>
      <c r="D396" t="str">
        <f t="shared" si="19"/>
        <v/>
      </c>
    </row>
    <row r="397" spans="1:4" x14ac:dyDescent="0.35">
      <c r="A397">
        <v>388</v>
      </c>
      <c r="B397">
        <f t="shared" si="20"/>
        <v>388</v>
      </c>
      <c r="C397">
        <f t="shared" si="18"/>
        <v>299.16302292220496</v>
      </c>
      <c r="D397" t="str">
        <f t="shared" si="19"/>
        <v/>
      </c>
    </row>
    <row r="398" spans="1:4" x14ac:dyDescent="0.35">
      <c r="A398">
        <v>389</v>
      </c>
      <c r="B398">
        <f t="shared" si="20"/>
        <v>389</v>
      </c>
      <c r="C398">
        <f t="shared" si="18"/>
        <v>299.17795568460775</v>
      </c>
      <c r="D398" t="str">
        <f t="shared" si="19"/>
        <v/>
      </c>
    </row>
    <row r="399" spans="1:4" x14ac:dyDescent="0.35">
      <c r="A399">
        <v>390</v>
      </c>
      <c r="B399">
        <f t="shared" si="20"/>
        <v>390</v>
      </c>
      <c r="C399">
        <f t="shared" si="18"/>
        <v>299.19262229683318</v>
      </c>
      <c r="D399" t="str">
        <f t="shared" si="19"/>
        <v/>
      </c>
    </row>
    <row r="400" spans="1:4" x14ac:dyDescent="0.35">
      <c r="A400">
        <v>391</v>
      </c>
      <c r="B400">
        <f t="shared" si="20"/>
        <v>391</v>
      </c>
      <c r="C400">
        <f t="shared" si="18"/>
        <v>299.20702749298817</v>
      </c>
      <c r="D400" t="str">
        <f t="shared" si="19"/>
        <v/>
      </c>
    </row>
    <row r="401" spans="1:4" x14ac:dyDescent="0.35">
      <c r="A401">
        <v>392</v>
      </c>
      <c r="B401">
        <f t="shared" si="20"/>
        <v>392</v>
      </c>
      <c r="C401">
        <f t="shared" si="18"/>
        <v>299.22117592331</v>
      </c>
      <c r="D401" t="str">
        <f t="shared" si="19"/>
        <v/>
      </c>
    </row>
    <row r="402" spans="1:4" x14ac:dyDescent="0.35">
      <c r="A402">
        <v>393</v>
      </c>
      <c r="B402">
        <f t="shared" si="20"/>
        <v>393</v>
      </c>
      <c r="C402">
        <f t="shared" si="18"/>
        <v>299.23507215564109</v>
      </c>
      <c r="D402" t="str">
        <f t="shared" si="19"/>
        <v/>
      </c>
    </row>
    <row r="403" spans="1:4" x14ac:dyDescent="0.35">
      <c r="A403">
        <v>394</v>
      </c>
      <c r="B403">
        <f t="shared" si="20"/>
        <v>394</v>
      </c>
      <c r="C403">
        <f t="shared" si="18"/>
        <v>299.24872067687795</v>
      </c>
      <c r="D403" t="str">
        <f t="shared" si="19"/>
        <v/>
      </c>
    </row>
    <row r="404" spans="1:4" x14ac:dyDescent="0.35">
      <c r="A404">
        <v>395</v>
      </c>
      <c r="B404">
        <f t="shared" si="20"/>
        <v>395</v>
      </c>
      <c r="C404">
        <f t="shared" si="18"/>
        <v>299.26212589439251</v>
      </c>
      <c r="D404" t="str">
        <f t="shared" si="19"/>
        <v/>
      </c>
    </row>
    <row r="405" spans="1:4" x14ac:dyDescent="0.35">
      <c r="A405">
        <v>396</v>
      </c>
      <c r="B405">
        <f t="shared" si="20"/>
        <v>396</v>
      </c>
      <c r="C405">
        <f t="shared" si="18"/>
        <v>299.27529213743287</v>
      </c>
      <c r="D405" t="str">
        <f t="shared" si="19"/>
        <v/>
      </c>
    </row>
    <row r="406" spans="1:4" x14ac:dyDescent="0.35">
      <c r="A406">
        <v>397</v>
      </c>
      <c r="B406">
        <f t="shared" si="20"/>
        <v>397</v>
      </c>
      <c r="C406">
        <f t="shared" si="18"/>
        <v>299.28822365849601</v>
      </c>
      <c r="D406" t="str">
        <f t="shared" si="19"/>
        <v/>
      </c>
    </row>
    <row r="407" spans="1:4" x14ac:dyDescent="0.35">
      <c r="A407">
        <v>398</v>
      </c>
      <c r="B407">
        <f t="shared" si="20"/>
        <v>398</v>
      </c>
      <c r="C407">
        <f t="shared" si="18"/>
        <v>299.30092463467986</v>
      </c>
      <c r="D407" t="str">
        <f t="shared" si="19"/>
        <v/>
      </c>
    </row>
    <row r="408" spans="1:4" x14ac:dyDescent="0.35">
      <c r="A408">
        <v>399</v>
      </c>
      <c r="B408">
        <f t="shared" si="20"/>
        <v>399</v>
      </c>
      <c r="C408">
        <f t="shared" si="18"/>
        <v>299.31339916900998</v>
      </c>
      <c r="D408" t="str">
        <f t="shared" si="19"/>
        <v/>
      </c>
    </row>
    <row r="409" spans="1:4" x14ac:dyDescent="0.35">
      <c r="A409">
        <v>400</v>
      </c>
      <c r="B409">
        <f t="shared" si="20"/>
        <v>400</v>
      </c>
      <c r="C409">
        <f t="shared" si="18"/>
        <v>299.32565129174293</v>
      </c>
      <c r="D409" t="str">
        <f t="shared" si="19"/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Euler</vt:lpstr>
      <vt:lpstr>Heun</vt:lpstr>
      <vt:lpstr>Exacto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Canaviri</cp:lastModifiedBy>
  <dcterms:created xsi:type="dcterms:W3CDTF">2025-12-04T11:56:23Z</dcterms:created>
  <dcterms:modified xsi:type="dcterms:W3CDTF">2025-12-04T12:11:23Z</dcterms:modified>
</cp:coreProperties>
</file>