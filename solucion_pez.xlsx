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39E61B-30F9-44B0-A529-C268CAC2D677}" xr6:coauthVersionLast="47" xr6:coauthVersionMax="47" xr10:uidLastSave="{00000000-0000-0000-0000-000000000000}"/>
  <bookViews>
    <workbookView xWindow="1060" yWindow="810" windowWidth="14550" windowHeight="8370" activeTab="1" xr2:uid="{00000000-000D-0000-FFFF-FFFF00000000}"/>
  </bookViews>
  <sheets>
    <sheet name="Euler_vB" sheetId="1" r:id="rId1"/>
    <sheet name="Heun_vB" sheetId="2" r:id="rId2"/>
    <sheet name="Exacto_v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 s="1"/>
  <c r="D9" i="3"/>
  <c r="C9" i="3"/>
  <c r="F2" i="3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11" i="2"/>
  <c r="B12" i="2" s="1"/>
  <c r="B13" i="2" s="1"/>
  <c r="B10" i="2"/>
  <c r="C9" i="2"/>
  <c r="D9" i="2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10" i="1"/>
  <c r="C9" i="1"/>
  <c r="B12" i="3" l="1"/>
  <c r="D11" i="3"/>
  <c r="C11" i="3"/>
  <c r="C10" i="3"/>
  <c r="D9" i="1"/>
  <c r="E9" i="1" s="1"/>
  <c r="C10" i="1" s="1"/>
  <c r="E9" i="2"/>
  <c r="F9" i="2" s="1"/>
  <c r="G9" i="2" s="1"/>
  <c r="D10" i="3"/>
  <c r="C10" i="2" l="1"/>
  <c r="H9" i="2"/>
  <c r="D10" i="1"/>
  <c r="E10" i="1" s="1"/>
  <c r="C11" i="1" s="1"/>
  <c r="B13" i="3"/>
  <c r="C12" i="3"/>
  <c r="D12" i="3"/>
  <c r="D11" i="1" l="1"/>
  <c r="E11" i="1" s="1"/>
  <c r="C12" i="1" s="1"/>
  <c r="D13" i="3"/>
  <c r="C13" i="3"/>
  <c r="B14" i="3"/>
  <c r="D10" i="2"/>
  <c r="D12" i="1" l="1"/>
  <c r="E12" i="1" s="1"/>
  <c r="C13" i="1" s="1"/>
  <c r="E10" i="2"/>
  <c r="F10" i="2" s="1"/>
  <c r="G10" i="2" s="1"/>
  <c r="B15" i="3"/>
  <c r="D14" i="3"/>
  <c r="C14" i="3"/>
  <c r="C11" i="2" l="1"/>
  <c r="H10" i="2"/>
  <c r="D13" i="1"/>
  <c r="E13" i="1" s="1"/>
  <c r="C14" i="1" s="1"/>
  <c r="B16" i="3"/>
  <c r="D15" i="3"/>
  <c r="C15" i="3"/>
  <c r="D14" i="1" l="1"/>
  <c r="E14" i="1" s="1"/>
  <c r="C15" i="1" s="1"/>
  <c r="C16" i="3"/>
  <c r="B17" i="3"/>
  <c r="D16" i="3"/>
  <c r="D11" i="2"/>
  <c r="D15" i="1" l="1"/>
  <c r="E15" i="1" s="1"/>
  <c r="C16" i="1" s="1"/>
  <c r="E11" i="2"/>
  <c r="F11" i="2" s="1"/>
  <c r="G11" i="2" s="1"/>
  <c r="D17" i="3"/>
  <c r="C17" i="3"/>
  <c r="B18" i="3"/>
  <c r="H11" i="2" l="1"/>
  <c r="C12" i="2"/>
  <c r="D16" i="1"/>
  <c r="E16" i="1" s="1"/>
  <c r="C17" i="1" s="1"/>
  <c r="C18" i="3"/>
  <c r="B19" i="3"/>
  <c r="D18" i="3"/>
  <c r="D17" i="1" l="1"/>
  <c r="E17" i="1" s="1"/>
  <c r="C18" i="1" s="1"/>
  <c r="B20" i="3"/>
  <c r="D19" i="3"/>
  <c r="C19" i="3"/>
  <c r="D12" i="2"/>
  <c r="D18" i="1" l="1"/>
  <c r="E18" i="1" s="1"/>
  <c r="C19" i="1" s="1"/>
  <c r="B21" i="3"/>
  <c r="D20" i="3"/>
  <c r="C20" i="3"/>
  <c r="E12" i="2"/>
  <c r="F12" i="2" s="1"/>
  <c r="G12" i="2" s="1"/>
  <c r="H12" i="2" l="1"/>
  <c r="C13" i="2"/>
  <c r="D19" i="1"/>
  <c r="E19" i="1" s="1"/>
  <c r="C20" i="1" s="1"/>
  <c r="D21" i="3"/>
  <c r="C21" i="3"/>
  <c r="B22" i="3"/>
  <c r="D20" i="1" l="1"/>
  <c r="E20" i="1" s="1"/>
  <c r="C21" i="1" s="1"/>
  <c r="D22" i="3"/>
  <c r="C22" i="3"/>
  <c r="B23" i="3"/>
  <c r="D13" i="2"/>
  <c r="D21" i="1" l="1"/>
  <c r="E21" i="1" s="1"/>
  <c r="C22" i="1" s="1"/>
  <c r="B24" i="3"/>
  <c r="D23" i="3"/>
  <c r="C23" i="3"/>
  <c r="E13" i="2"/>
  <c r="F13" i="2" s="1"/>
  <c r="G13" i="2" s="1"/>
  <c r="H13" i="2" l="1"/>
  <c r="C14" i="2"/>
  <c r="D22" i="1"/>
  <c r="E22" i="1" s="1"/>
  <c r="C23" i="1" s="1"/>
  <c r="B25" i="3"/>
  <c r="C24" i="3"/>
  <c r="D24" i="3"/>
  <c r="D23" i="1" l="1"/>
  <c r="E23" i="1" s="1"/>
  <c r="C24" i="1" s="1"/>
  <c r="D14" i="2"/>
  <c r="E14" i="2" s="1"/>
  <c r="F14" i="2" s="1"/>
  <c r="D25" i="3"/>
  <c r="C25" i="3"/>
  <c r="B26" i="3"/>
  <c r="D24" i="1" l="1"/>
  <c r="E24" i="1" s="1"/>
  <c r="C25" i="1" s="1"/>
  <c r="B27" i="3"/>
  <c r="D26" i="3"/>
  <c r="C26" i="3"/>
  <c r="G14" i="2"/>
  <c r="D25" i="1" l="1"/>
  <c r="E25" i="1" s="1"/>
  <c r="C26" i="1" s="1"/>
  <c r="B28" i="3"/>
  <c r="D27" i="3"/>
  <c r="C27" i="3"/>
  <c r="C15" i="2"/>
  <c r="H14" i="2"/>
  <c r="D26" i="1" l="1"/>
  <c r="E26" i="1" s="1"/>
  <c r="C27" i="1" s="1"/>
  <c r="D15" i="2"/>
  <c r="E15" i="2" s="1"/>
  <c r="F15" i="2" s="1"/>
  <c r="G15" i="2" s="1"/>
  <c r="C28" i="3"/>
  <c r="B29" i="3"/>
  <c r="D28" i="3"/>
  <c r="H15" i="2" l="1"/>
  <c r="C16" i="2"/>
  <c r="D27" i="1"/>
  <c r="E27" i="1" s="1"/>
  <c r="C28" i="1" s="1"/>
  <c r="D29" i="3"/>
  <c r="C29" i="3"/>
  <c r="B30" i="3"/>
  <c r="D28" i="1" l="1"/>
  <c r="E28" i="1" s="1"/>
  <c r="C29" i="1" s="1"/>
  <c r="D30" i="3"/>
  <c r="B31" i="3"/>
  <c r="C30" i="3"/>
  <c r="D16" i="2"/>
  <c r="D29" i="1" l="1"/>
  <c r="E29" i="1" s="1"/>
  <c r="C30" i="1" s="1"/>
  <c r="E16" i="2"/>
  <c r="F16" i="2" s="1"/>
  <c r="G16" i="2" s="1"/>
  <c r="B32" i="3"/>
  <c r="D31" i="3"/>
  <c r="C31" i="3"/>
  <c r="C17" i="2" l="1"/>
  <c r="H16" i="2"/>
  <c r="D30" i="1"/>
  <c r="E30" i="1" s="1"/>
  <c r="C31" i="1" s="1"/>
  <c r="B33" i="3"/>
  <c r="C32" i="3"/>
  <c r="D32" i="3"/>
  <c r="D31" i="1" l="1"/>
  <c r="E31" i="1" s="1"/>
  <c r="C32" i="1" s="1"/>
  <c r="D33" i="3"/>
  <c r="C33" i="3"/>
  <c r="B34" i="3"/>
  <c r="D17" i="2"/>
  <c r="D32" i="1" l="1"/>
  <c r="E32" i="1" s="1"/>
  <c r="C33" i="1" s="1"/>
  <c r="E17" i="2"/>
  <c r="F17" i="2" s="1"/>
  <c r="G17" i="2" s="1"/>
  <c r="C34" i="3"/>
  <c r="B35" i="3"/>
  <c r="D34" i="3"/>
  <c r="C18" i="2" l="1"/>
  <c r="H17" i="2"/>
  <c r="D33" i="1"/>
  <c r="E33" i="1" s="1"/>
  <c r="C34" i="1" s="1"/>
  <c r="B36" i="3"/>
  <c r="D35" i="3"/>
  <c r="C35" i="3"/>
  <c r="D34" i="1" l="1"/>
  <c r="E34" i="1" s="1"/>
  <c r="C35" i="1" s="1"/>
  <c r="B37" i="3"/>
  <c r="D36" i="3"/>
  <c r="C36" i="3"/>
  <c r="D18" i="2"/>
  <c r="D35" i="1" l="1"/>
  <c r="E35" i="1" s="1"/>
  <c r="C36" i="1" s="1"/>
  <c r="E18" i="2"/>
  <c r="F18" i="2" s="1"/>
  <c r="G18" i="2" s="1"/>
  <c r="D37" i="3"/>
  <c r="C37" i="3"/>
  <c r="B38" i="3"/>
  <c r="H18" i="2" l="1"/>
  <c r="C19" i="2"/>
  <c r="D36" i="1"/>
  <c r="E36" i="1" s="1"/>
  <c r="C37" i="1" s="1"/>
  <c r="B39" i="3"/>
  <c r="C38" i="3"/>
  <c r="D38" i="3"/>
  <c r="D37" i="1" l="1"/>
  <c r="E37" i="1" s="1"/>
  <c r="C38" i="1" s="1"/>
  <c r="D19" i="2"/>
  <c r="E19" i="2"/>
  <c r="F19" i="2" s="1"/>
  <c r="G19" i="2" s="1"/>
  <c r="B40" i="3"/>
  <c r="D39" i="3"/>
  <c r="C39" i="3"/>
  <c r="C20" i="2" l="1"/>
  <c r="H19" i="2"/>
  <c r="D38" i="1"/>
  <c r="E38" i="1" s="1"/>
  <c r="C39" i="1" s="1"/>
  <c r="B41" i="3"/>
  <c r="C40" i="3"/>
  <c r="D40" i="3"/>
  <c r="D39" i="1" l="1"/>
  <c r="E39" i="1" s="1"/>
  <c r="C40" i="1" s="1"/>
  <c r="D20" i="2"/>
  <c r="E20" i="2" s="1"/>
  <c r="F20" i="2" s="1"/>
  <c r="G20" i="2" s="1"/>
  <c r="D41" i="3"/>
  <c r="C41" i="3"/>
  <c r="B42" i="3"/>
  <c r="H20" i="2" l="1"/>
  <c r="C21" i="2"/>
  <c r="D40" i="1"/>
  <c r="E40" i="1" s="1"/>
  <c r="C41" i="1" s="1"/>
  <c r="C42" i="3"/>
  <c r="B43" i="3"/>
  <c r="D42" i="3"/>
  <c r="D41" i="1" l="1"/>
  <c r="E41" i="1" s="1"/>
  <c r="C42" i="1" s="1"/>
  <c r="B44" i="3"/>
  <c r="D43" i="3"/>
  <c r="C43" i="3"/>
  <c r="D21" i="2"/>
  <c r="D42" i="1" l="1"/>
  <c r="E42" i="1"/>
  <c r="C43" i="1" s="1"/>
  <c r="E21" i="2"/>
  <c r="F21" i="2" s="1"/>
  <c r="G21" i="2" s="1"/>
  <c r="C44" i="3"/>
  <c r="B45" i="3"/>
  <c r="D44" i="3"/>
  <c r="C22" i="2" l="1"/>
  <c r="H21" i="2"/>
  <c r="D45" i="3"/>
  <c r="C45" i="3"/>
  <c r="B46" i="3"/>
  <c r="D43" i="1"/>
  <c r="E43" i="1" s="1"/>
  <c r="C44" i="1" s="1"/>
  <c r="D44" i="1" l="1"/>
  <c r="E44" i="1" s="1"/>
  <c r="C45" i="1" s="1"/>
  <c r="B47" i="3"/>
  <c r="D46" i="3"/>
  <c r="C46" i="3"/>
  <c r="D22" i="2"/>
  <c r="E22" i="2" s="1"/>
  <c r="F22" i="2" s="1"/>
  <c r="D45" i="1" l="1"/>
  <c r="E45" i="1" s="1"/>
  <c r="C46" i="1" s="1"/>
  <c r="G22" i="2"/>
  <c r="B48" i="3"/>
  <c r="D47" i="3"/>
  <c r="C47" i="3"/>
  <c r="D46" i="1" l="1"/>
  <c r="E46" i="1" s="1"/>
  <c r="C47" i="1" s="1"/>
  <c r="B49" i="3"/>
  <c r="D48" i="3"/>
  <c r="C48" i="3"/>
  <c r="C23" i="2"/>
  <c r="H22" i="2"/>
  <c r="D47" i="1" l="1"/>
  <c r="E47" i="1" s="1"/>
  <c r="C48" i="1" s="1"/>
  <c r="D23" i="2"/>
  <c r="G23" i="2" s="1"/>
  <c r="E23" i="2"/>
  <c r="F23" i="2" s="1"/>
  <c r="D49" i="3"/>
  <c r="C49" i="3"/>
  <c r="B50" i="3"/>
  <c r="H23" i="2" l="1"/>
  <c r="C24" i="2"/>
  <c r="D48" i="1"/>
  <c r="E48" i="1" s="1"/>
  <c r="C49" i="1" s="1"/>
  <c r="B51" i="3"/>
  <c r="C50" i="3"/>
  <c r="D50" i="3"/>
  <c r="D49" i="1" l="1"/>
  <c r="E49" i="1" s="1"/>
  <c r="C50" i="1" s="1"/>
  <c r="B52" i="3"/>
  <c r="D51" i="3"/>
  <c r="C51" i="3"/>
  <c r="D24" i="2"/>
  <c r="D50" i="1" l="1"/>
  <c r="E50" i="1" s="1"/>
  <c r="C51" i="1" s="1"/>
  <c r="B53" i="3"/>
  <c r="C52" i="3"/>
  <c r="D52" i="3"/>
  <c r="E24" i="2"/>
  <c r="F24" i="2" s="1"/>
  <c r="G24" i="2" s="1"/>
  <c r="C25" i="2" l="1"/>
  <c r="H24" i="2"/>
  <c r="D51" i="1"/>
  <c r="E51" i="1" s="1"/>
  <c r="C52" i="1" s="1"/>
  <c r="D53" i="3"/>
  <c r="C53" i="3"/>
  <c r="B54" i="3"/>
  <c r="E52" i="1" l="1"/>
  <c r="C53" i="1" s="1"/>
  <c r="D52" i="1"/>
  <c r="C54" i="3"/>
  <c r="D54" i="3"/>
  <c r="B55" i="3"/>
  <c r="D25" i="2"/>
  <c r="E25" i="2" s="1"/>
  <c r="F25" i="2" s="1"/>
  <c r="G25" i="2" l="1"/>
  <c r="D53" i="1"/>
  <c r="E53" i="1" s="1"/>
  <c r="C54" i="1" s="1"/>
  <c r="B56" i="3"/>
  <c r="D55" i="3"/>
  <c r="C55" i="3"/>
  <c r="D54" i="1" l="1"/>
  <c r="E54" i="1"/>
  <c r="C55" i="1" s="1"/>
  <c r="B57" i="3"/>
  <c r="C56" i="3"/>
  <c r="D56" i="3"/>
  <c r="C26" i="2"/>
  <c r="H25" i="2"/>
  <c r="D26" i="2" l="1"/>
  <c r="D57" i="3"/>
  <c r="C57" i="3"/>
  <c r="B58" i="3"/>
  <c r="D55" i="1"/>
  <c r="E55" i="1" s="1"/>
  <c r="C56" i="1" s="1"/>
  <c r="D56" i="1" l="1"/>
  <c r="E56" i="1" s="1"/>
  <c r="C57" i="1" s="1"/>
  <c r="B59" i="3"/>
  <c r="D58" i="3"/>
  <c r="C58" i="3"/>
  <c r="E26" i="2"/>
  <c r="F26" i="2" s="1"/>
  <c r="G26" i="2" s="1"/>
  <c r="C27" i="2" l="1"/>
  <c r="H26" i="2"/>
  <c r="D57" i="1"/>
  <c r="E57" i="1" s="1"/>
  <c r="C58" i="1" s="1"/>
  <c r="B60" i="3"/>
  <c r="D59" i="3"/>
  <c r="C59" i="3"/>
  <c r="D58" i="1" l="1"/>
  <c r="E58" i="1" s="1"/>
  <c r="C59" i="1" s="1"/>
  <c r="C60" i="3"/>
  <c r="B61" i="3"/>
  <c r="D60" i="3"/>
  <c r="D27" i="2"/>
  <c r="D59" i="1" l="1"/>
  <c r="E59" i="1" s="1"/>
  <c r="C60" i="1" s="1"/>
  <c r="E27" i="2"/>
  <c r="F27" i="2" s="1"/>
  <c r="G27" i="2" s="1"/>
  <c r="D61" i="3"/>
  <c r="C61" i="3"/>
  <c r="B62" i="3"/>
  <c r="H27" i="2" l="1"/>
  <c r="C28" i="2"/>
  <c r="D60" i="1"/>
  <c r="E60" i="1"/>
  <c r="C61" i="1" s="1"/>
  <c r="B63" i="3"/>
  <c r="D62" i="3"/>
  <c r="C62" i="3"/>
  <c r="B64" i="3" l="1"/>
  <c r="C63" i="3"/>
  <c r="D63" i="3"/>
  <c r="D61" i="1"/>
  <c r="E61" i="1" s="1"/>
  <c r="C62" i="1" s="1"/>
  <c r="D28" i="2"/>
  <c r="D62" i="1" l="1"/>
  <c r="E62" i="1" s="1"/>
  <c r="C63" i="1" s="1"/>
  <c r="E28" i="2"/>
  <c r="F28" i="2" s="1"/>
  <c r="G28" i="2" s="1"/>
  <c r="B65" i="3"/>
  <c r="C64" i="3"/>
  <c r="D64" i="3"/>
  <c r="C29" i="2" l="1"/>
  <c r="H28" i="2"/>
  <c r="D63" i="1"/>
  <c r="E63" i="1" s="1"/>
  <c r="C64" i="1" s="1"/>
  <c r="D65" i="3"/>
  <c r="C65" i="3"/>
  <c r="B66" i="3"/>
  <c r="D64" i="1" l="1"/>
  <c r="E64" i="1" s="1"/>
  <c r="C65" i="1" s="1"/>
  <c r="B67" i="3"/>
  <c r="D66" i="3"/>
  <c r="C66" i="3"/>
  <c r="D29" i="2"/>
  <c r="D65" i="1" l="1"/>
  <c r="E65" i="1" s="1"/>
  <c r="C66" i="1" s="1"/>
  <c r="E29" i="2"/>
  <c r="F29" i="2" s="1"/>
  <c r="G29" i="2" s="1"/>
  <c r="B68" i="3"/>
  <c r="D67" i="3"/>
  <c r="C67" i="3"/>
  <c r="C30" i="2" l="1"/>
  <c r="H29" i="2"/>
  <c r="D66" i="1"/>
  <c r="E66" i="1" s="1"/>
  <c r="C67" i="1" s="1"/>
  <c r="B69" i="3"/>
  <c r="D68" i="3"/>
  <c r="C68" i="3"/>
  <c r="D67" i="1" l="1"/>
  <c r="E67" i="1" s="1"/>
  <c r="C68" i="1" s="1"/>
  <c r="D69" i="3"/>
  <c r="C69" i="3"/>
  <c r="D30" i="2"/>
  <c r="D68" i="1" l="1"/>
  <c r="E68" i="1" s="1"/>
  <c r="C69" i="1" s="1"/>
  <c r="E30" i="2"/>
  <c r="F30" i="2" s="1"/>
  <c r="G30" i="2" s="1"/>
  <c r="H30" i="2" l="1"/>
  <c r="C31" i="2"/>
  <c r="D69" i="1"/>
  <c r="E69" i="1" s="1"/>
  <c r="D31" i="2" l="1"/>
  <c r="E31" i="2" s="1"/>
  <c r="F31" i="2" s="1"/>
  <c r="G31" i="2" l="1"/>
  <c r="C32" i="2" l="1"/>
  <c r="H31" i="2"/>
  <c r="D32" i="2" l="1"/>
  <c r="E32" i="2" s="1"/>
  <c r="F32" i="2" s="1"/>
  <c r="G32" i="2" l="1"/>
  <c r="C33" i="2" l="1"/>
  <c r="H32" i="2"/>
  <c r="D33" i="2" l="1"/>
  <c r="E33" i="2" l="1"/>
  <c r="F33" i="2" s="1"/>
  <c r="G33" i="2" s="1"/>
  <c r="C34" i="2" l="1"/>
  <c r="H33" i="2"/>
  <c r="D34" i="2" l="1"/>
  <c r="E34" i="2"/>
  <c r="F34" i="2" s="1"/>
  <c r="G34" i="2" s="1"/>
  <c r="H34" i="2" l="1"/>
  <c r="C35" i="2"/>
  <c r="D35" i="2" l="1"/>
  <c r="E35" i="2" l="1"/>
  <c r="F35" i="2" s="1"/>
  <c r="G35" i="2" s="1"/>
  <c r="H35" i="2" l="1"/>
  <c r="C36" i="2"/>
  <c r="D36" i="2" l="1"/>
  <c r="E36" i="2" l="1"/>
  <c r="F36" i="2" s="1"/>
  <c r="G36" i="2" s="1"/>
  <c r="C37" i="2" l="1"/>
  <c r="H36" i="2"/>
  <c r="D37" i="2" l="1"/>
  <c r="E37" i="2" l="1"/>
  <c r="F37" i="2" s="1"/>
  <c r="G37" i="2" s="1"/>
  <c r="C38" i="2" l="1"/>
  <c r="H37" i="2"/>
  <c r="D38" i="2" l="1"/>
  <c r="E38" i="2" l="1"/>
  <c r="F38" i="2" s="1"/>
  <c r="G38" i="2" s="1"/>
  <c r="H38" i="2" l="1"/>
  <c r="C39" i="2"/>
  <c r="D39" i="2" l="1"/>
  <c r="E39" i="2" s="1"/>
  <c r="F39" i="2" s="1"/>
  <c r="G39" i="2" l="1"/>
  <c r="C40" i="2" l="1"/>
  <c r="H39" i="2"/>
  <c r="D40" i="2" l="1"/>
  <c r="E40" i="2" l="1"/>
  <c r="F40" i="2" s="1"/>
  <c r="G40" i="2" s="1"/>
  <c r="C41" i="2" l="1"/>
  <c r="H40" i="2"/>
  <c r="D41" i="2" l="1"/>
  <c r="E41" i="2" s="1"/>
  <c r="F41" i="2" s="1"/>
  <c r="G41" i="2" s="1"/>
  <c r="C42" i="2" l="1"/>
  <c r="H41" i="2"/>
  <c r="D42" i="2" l="1"/>
  <c r="E42" i="2" l="1"/>
  <c r="F42" i="2" s="1"/>
  <c r="G42" i="2" s="1"/>
  <c r="H42" i="2" l="1"/>
  <c r="C43" i="2"/>
  <c r="D43" i="2" l="1"/>
  <c r="E43" i="2" s="1"/>
  <c r="F43" i="2" s="1"/>
  <c r="G43" i="2" l="1"/>
  <c r="C44" i="2" l="1"/>
  <c r="H43" i="2"/>
  <c r="D44" i="2" l="1"/>
  <c r="E44" i="2" s="1"/>
  <c r="F44" i="2" s="1"/>
  <c r="G44" i="2" l="1"/>
  <c r="H44" i="2" l="1"/>
  <c r="C45" i="2"/>
  <c r="D45" i="2" l="1"/>
  <c r="E45" i="2" l="1"/>
  <c r="F45" i="2" s="1"/>
  <c r="G45" i="2" s="1"/>
  <c r="C46" i="2" l="1"/>
  <c r="H45" i="2"/>
  <c r="D46" i="2" l="1"/>
  <c r="E46" i="2" l="1"/>
  <c r="F46" i="2" s="1"/>
  <c r="G46" i="2" s="1"/>
  <c r="H46" i="2" l="1"/>
  <c r="C47" i="2"/>
  <c r="D47" i="2" l="1"/>
  <c r="E47" i="2" s="1"/>
  <c r="F47" i="2" s="1"/>
  <c r="G47" i="2" l="1"/>
  <c r="H47" i="2" l="1"/>
  <c r="C48" i="2"/>
  <c r="D48" i="2" l="1"/>
  <c r="E48" i="2" s="1"/>
  <c r="F48" i="2" s="1"/>
  <c r="G48" i="2" s="1"/>
  <c r="C49" i="2" l="1"/>
  <c r="H48" i="2"/>
  <c r="D49" i="2" l="1"/>
  <c r="E49" i="2" l="1"/>
  <c r="F49" i="2" s="1"/>
  <c r="G49" i="2" s="1"/>
  <c r="C50" i="2" l="1"/>
  <c r="H49" i="2"/>
  <c r="D50" i="2" l="1"/>
  <c r="G50" i="2" s="1"/>
  <c r="E50" i="2"/>
  <c r="F50" i="2" s="1"/>
  <c r="C51" i="2" l="1"/>
  <c r="H50" i="2"/>
  <c r="D51" i="2" l="1"/>
  <c r="E51" i="2" s="1"/>
  <c r="F51" i="2" s="1"/>
  <c r="G51" i="2" l="1"/>
  <c r="H51" i="2" l="1"/>
  <c r="C52" i="2"/>
  <c r="D52" i="2" l="1"/>
  <c r="E52" i="2" l="1"/>
  <c r="F52" i="2" s="1"/>
  <c r="G52" i="2" s="1"/>
  <c r="C53" i="2" l="1"/>
  <c r="H52" i="2"/>
  <c r="D53" i="2" l="1"/>
  <c r="E53" i="2" l="1"/>
  <c r="F53" i="2" s="1"/>
  <c r="G53" i="2" s="1"/>
  <c r="C54" i="2" l="1"/>
  <c r="H53" i="2"/>
  <c r="D54" i="2" l="1"/>
  <c r="E54" i="2" l="1"/>
  <c r="F54" i="2" s="1"/>
  <c r="G54" i="2" s="1"/>
  <c r="H54" i="2" l="1"/>
  <c r="C55" i="2"/>
  <c r="D55" i="2" l="1"/>
  <c r="G55" i="2" s="1"/>
  <c r="E55" i="2"/>
  <c r="F55" i="2" s="1"/>
  <c r="C56" i="2" l="1"/>
  <c r="H55" i="2"/>
  <c r="D56" i="2" l="1"/>
  <c r="E56" i="2" s="1"/>
  <c r="F56" i="2" s="1"/>
  <c r="G56" i="2" l="1"/>
  <c r="C57" i="2" l="1"/>
  <c r="H56" i="2"/>
  <c r="D57" i="2" l="1"/>
  <c r="E57" i="2" l="1"/>
  <c r="F57" i="2" s="1"/>
  <c r="G57" i="2" s="1"/>
  <c r="C58" i="2" l="1"/>
  <c r="H57" i="2"/>
  <c r="D58" i="2" l="1"/>
  <c r="E58" i="2"/>
  <c r="F58" i="2" s="1"/>
  <c r="G58" i="2" s="1"/>
  <c r="C59" i="2" l="1"/>
  <c r="H58" i="2"/>
  <c r="D59" i="2" l="1"/>
  <c r="E59" i="2" l="1"/>
  <c r="F59" i="2" s="1"/>
  <c r="G59" i="2" s="1"/>
  <c r="H59" i="2" l="1"/>
  <c r="C60" i="2"/>
  <c r="D60" i="2" l="1"/>
  <c r="E60" i="2" s="1"/>
  <c r="F60" i="2" s="1"/>
  <c r="G60" i="2" l="1"/>
  <c r="C61" i="2" l="1"/>
  <c r="H60" i="2"/>
  <c r="D61" i="2" l="1"/>
  <c r="E61" i="2" l="1"/>
  <c r="F61" i="2" s="1"/>
  <c r="G61" i="2" s="1"/>
  <c r="C62" i="2" l="1"/>
  <c r="H61" i="2"/>
  <c r="D62" i="2" l="1"/>
  <c r="E62" i="2" l="1"/>
  <c r="F62" i="2" s="1"/>
  <c r="G62" i="2" s="1"/>
  <c r="H62" i="2" l="1"/>
  <c r="C63" i="2"/>
  <c r="D63" i="2" l="1"/>
  <c r="E63" i="2" s="1"/>
  <c r="F63" i="2" s="1"/>
  <c r="G63" i="2" l="1"/>
  <c r="H63" i="2" l="1"/>
  <c r="C64" i="2"/>
  <c r="D64" i="2" l="1"/>
  <c r="E64" i="2" l="1"/>
  <c r="F64" i="2" s="1"/>
  <c r="G64" i="2" s="1"/>
  <c r="C65" i="2" l="1"/>
  <c r="H64" i="2"/>
  <c r="D65" i="2" l="1"/>
  <c r="E65" i="2" s="1"/>
  <c r="F65" i="2" s="1"/>
  <c r="G65" i="2" l="1"/>
  <c r="C66" i="2" l="1"/>
  <c r="H65" i="2"/>
  <c r="D66" i="2" l="1"/>
  <c r="E66" i="2" l="1"/>
  <c r="F66" i="2" s="1"/>
  <c r="G66" i="2" s="1"/>
  <c r="H66" i="2" l="1"/>
  <c r="C67" i="2"/>
  <c r="D67" i="2" l="1"/>
  <c r="E67" i="2" s="1"/>
  <c r="F67" i="2" s="1"/>
  <c r="G67" i="2" l="1"/>
  <c r="C68" i="2" l="1"/>
  <c r="H67" i="2"/>
  <c r="D68" i="2" l="1"/>
  <c r="E68" i="2" s="1"/>
  <c r="F68" i="2" s="1"/>
  <c r="G68" i="2" s="1"/>
  <c r="H68" i="2" l="1"/>
  <c r="C69" i="2"/>
  <c r="D69" i="2" l="1"/>
  <c r="E69" i="2" l="1"/>
  <c r="F69" i="2" s="1"/>
  <c r="G69" i="2" s="1"/>
  <c r="H69" i="2" s="1"/>
</calcChain>
</file>

<file path=xl/sharedStrings.xml><?xml version="1.0" encoding="utf-8"?>
<sst xmlns="http://schemas.openxmlformats.org/spreadsheetml/2006/main" count="42" uniqueCount="21">
  <si>
    <t>Constante</t>
  </si>
  <si>
    <t>Valor</t>
  </si>
  <si>
    <t>a (unidad)</t>
  </si>
  <si>
    <t>b (día^-1)</t>
  </si>
  <si>
    <t>h (paso, días)</t>
  </si>
  <si>
    <t>w0 (lb)</t>
  </si>
  <si>
    <t>Notas</t>
  </si>
  <si>
    <t>Las celdas muestran fórmulas; revise para ver cómo se calculó cada paso.</t>
  </si>
  <si>
    <t>n</t>
  </si>
  <si>
    <t>t_n (d)</t>
  </si>
  <si>
    <t>w_n (lb)</t>
  </si>
  <si>
    <t>f(t_n,w_n) = a w^{2/3} - b w</t>
  </si>
  <si>
    <t>w_{n+1} = w_n + h f</t>
  </si>
  <si>
    <t>f_n</t>
  </si>
  <si>
    <t>w_predictor</t>
  </si>
  <si>
    <t>f_predictor</t>
  </si>
  <si>
    <t>w_{n+1} (Heun)</t>
  </si>
  <si>
    <t>Error (Heun-Euler)</t>
  </si>
  <si>
    <t>Valor teórico w_max</t>
  </si>
  <si>
    <t>w_exact (lb)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</si>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</sst>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Euler von Bertalanffy: w(t)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Euler_vB!$B$9:$B$69</c:f>
              <c:numCache>
                <c:formatCode>General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cat>
          <c:val>
            <c:numRef>
              <c:f>Euler_vB!$C$9:$C$69</c:f>
              <c:numCache>
                <c:formatCode>General</c:formatCode>
                <c:ptCount val="61"/>
                <c:pt idx="0">
                  <c:v>0.5</c:v>
                </c:pt>
                <c:pt idx="1">
                  <c:v>1.5749013123685915</c:v>
                </c:pt>
                <c:pt idx="2">
                  <c:v>3.3840926026134639</c:v>
                </c:pt>
                <c:pt idx="3">
                  <c:v>5.635098360841643</c:v>
                </c:pt>
                <c:pt idx="4">
                  <c:v>7.9166420605013119</c:v>
                </c:pt>
                <c:pt idx="5">
                  <c:v>9.9304138538599815</c:v>
                </c:pt>
                <c:pt idx="6">
                  <c:v>11.550077744651624</c:v>
                </c:pt>
                <c:pt idx="7">
                  <c:v>12.774089275123544</c:v>
                </c:pt>
                <c:pt idx="8">
                  <c:v>13.661340207609422</c:v>
                </c:pt>
                <c:pt idx="9">
                  <c:v>14.286819124367948</c:v>
                </c:pt>
                <c:pt idx="10">
                  <c:v>14.719634953513554</c:v>
                </c:pt>
                <c:pt idx="11">
                  <c:v>15.015439037989726</c:v>
                </c:pt>
                <c:pt idx="12">
                  <c:v>15.215936905199957</c:v>
                </c:pt>
                <c:pt idx="13">
                  <c:v>15.351087288697441</c:v>
                </c:pt>
                <c:pt idx="14">
                  <c:v>15.441853792190338</c:v>
                </c:pt>
                <c:pt idx="15">
                  <c:v>15.502662752289098</c:v>
                </c:pt>
                <c:pt idx="16">
                  <c:v>15.54333503506134</c:v>
                </c:pt>
                <c:pt idx="17">
                  <c:v>15.570509154355207</c:v>
                </c:pt>
                <c:pt idx="18">
                  <c:v>15.588651622093721</c:v>
                </c:pt>
                <c:pt idx="19">
                  <c:v>15.600758343102916</c:v>
                </c:pt>
                <c:pt idx="20">
                  <c:v>15.608834713616984</c:v>
                </c:pt>
                <c:pt idx="21">
                  <c:v>15.614221283305806</c:v>
                </c:pt>
                <c:pt idx="22">
                  <c:v>15.617813362443027</c:v>
                </c:pt>
                <c:pt idx="23">
                  <c:v>15.620208540947296</c:v>
                </c:pt>
                <c:pt idx="24">
                  <c:v>15.621805530685153</c:v>
                </c:pt>
                <c:pt idx="25">
                  <c:v>15.622870281217221</c:v>
                </c:pt>
                <c:pt idx="26">
                  <c:v>15.62358015522231</c:v>
                </c:pt>
                <c:pt idx="27">
                  <c:v>15.624053422478582</c:v>
                </c:pt>
                <c:pt idx="28">
                  <c:v>15.624368941947262</c:v>
                </c:pt>
                <c:pt idx="29">
                  <c:v>15.62457929179957</c:v>
                </c:pt>
                <c:pt idx="30">
                  <c:v>15.624719526607731</c:v>
                </c:pt>
                <c:pt idx="31">
                  <c:v>15.624813017179083</c:v>
                </c:pt>
                <c:pt idx="32">
                  <c:v>15.624875344537433</c:v>
                </c:pt>
                <c:pt idx="33">
                  <c:v>15.62491689624779</c:v>
                </c:pt>
                <c:pt idx="34">
                  <c:v>15.624944597449415</c:v>
                </c:pt>
                <c:pt idx="35">
                  <c:v>15.624963064944449</c:v>
                </c:pt>
                <c:pt idx="36">
                  <c:v>15.624975376619933</c:v>
                </c:pt>
                <c:pt idx="37">
                  <c:v>15.624983584408973</c:v>
                </c:pt>
                <c:pt idx="38">
                  <c:v>15.624989056270733</c:v>
                </c:pt>
                <c:pt idx="39">
                  <c:v>15.624992704179636</c:v>
                </c:pt>
                <c:pt idx="40">
                  <c:v>15.624995136119377</c:v>
                </c:pt>
                <c:pt idx="41">
                  <c:v>15.624996757412751</c:v>
                </c:pt>
                <c:pt idx="42">
                  <c:v>15.624997838275092</c:v>
                </c:pt>
                <c:pt idx="43">
                  <c:v>15.624998558850027</c:v>
                </c:pt>
                <c:pt idx="44">
                  <c:v>15.624999039233336</c:v>
                </c:pt>
                <c:pt idx="45">
                  <c:v>15.624999359488886</c:v>
                </c:pt>
                <c:pt idx="46">
                  <c:v>15.624999572992584</c:v>
                </c:pt>
                <c:pt idx="47">
                  <c:v>15.624999715328387</c:v>
                </c:pt>
                <c:pt idx="48">
                  <c:v>15.624999810218922</c:v>
                </c:pt>
                <c:pt idx="49">
                  <c:v>15.624999873479283</c:v>
                </c:pt>
                <c:pt idx="50">
                  <c:v>15.624999915652856</c:v>
                </c:pt>
                <c:pt idx="51">
                  <c:v>15.62499994376857</c:v>
                </c:pt>
                <c:pt idx="52">
                  <c:v>15.62499996251238</c:v>
                </c:pt>
                <c:pt idx="53">
                  <c:v>15.624999975008249</c:v>
                </c:pt>
                <c:pt idx="54">
                  <c:v>15.624999983338832</c:v>
                </c:pt>
                <c:pt idx="55">
                  <c:v>15.624999988892554</c:v>
                </c:pt>
                <c:pt idx="56">
                  <c:v>15.624999992595036</c:v>
                </c:pt>
                <c:pt idx="57">
                  <c:v>15.624999995063355</c:v>
                </c:pt>
                <c:pt idx="58">
                  <c:v>15.624999996708901</c:v>
                </c:pt>
                <c:pt idx="59">
                  <c:v>15.624999997805931</c:v>
                </c:pt>
                <c:pt idx="60">
                  <c:v>15.624999998537286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D-4F17-9181-E4B14756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w (lb)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Heun von Bertalanffy: w(t)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Heun_vB!$B$9:$B$69</c:f>
              <c:numCache>
                <c:formatCode>General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cat>
          <c:val>
            <c:numRef>
              <c:f>Heun_vB!$G$9:$G$69</c:f>
              <c:numCache>
                <c:formatCode>General</c:formatCode>
                <c:ptCount val="61"/>
                <c:pt idx="0">
                  <c:v>1.9420463013067319</c:v>
                </c:pt>
                <c:pt idx="1">
                  <c:v>4.0635873283038695</c:v>
                </c:pt>
                <c:pt idx="2">
                  <c:v>6.3254753023414354</c:v>
                </c:pt>
                <c:pt idx="3">
                  <c:v>8.3896444773098029</c:v>
                </c:pt>
                <c:pt idx="4">
                  <c:v>10.120745787646094</c:v>
                </c:pt>
                <c:pt idx="5">
                  <c:v>11.501538578005844</c:v>
                </c:pt>
                <c:pt idx="6">
                  <c:v>12.568666302284328</c:v>
                </c:pt>
                <c:pt idx="7">
                  <c:v>13.376457278354817</c:v>
                </c:pt>
                <c:pt idx="8">
                  <c:v>13.979435159357793</c:v>
                </c:pt>
                <c:pt idx="9">
                  <c:v>14.425211993797507</c:v>
                </c:pt>
                <c:pt idx="10">
                  <c:v>14.752561384649631</c:v>
                </c:pt>
                <c:pt idx="11">
                  <c:v>14.991808142052934</c:v>
                </c:pt>
                <c:pt idx="12">
                  <c:v>15.166076670890526</c:v>
                </c:pt>
                <c:pt idx="13">
                  <c:v>15.292710417051737</c:v>
                </c:pt>
                <c:pt idx="14">
                  <c:v>15.384571989655701</c:v>
                </c:pt>
                <c:pt idx="15">
                  <c:v>15.451127339992992</c:v>
                </c:pt>
                <c:pt idx="16">
                  <c:v>15.499305173150461</c:v>
                </c:pt>
                <c:pt idx="17">
                  <c:v>15.534157724581702</c:v>
                </c:pt>
                <c:pt idx="18">
                  <c:v>15.559358989573184</c:v>
                </c:pt>
                <c:pt idx="19">
                  <c:v>15.577575544209612</c:v>
                </c:pt>
                <c:pt idx="20">
                  <c:v>15.590740104890299</c:v>
                </c:pt>
                <c:pt idx="21">
                  <c:v>15.60025210014231</c:v>
                </c:pt>
                <c:pt idx="22">
                  <c:v>15.60712409519099</c:v>
                </c:pt>
                <c:pt idx="23">
                  <c:v>15.61208836114343</c:v>
                </c:pt>
                <c:pt idx="24">
                  <c:v>15.615674268601072</c:v>
                </c:pt>
                <c:pt idx="25">
                  <c:v>15.618264405856559</c:v>
                </c:pt>
                <c:pt idx="26">
                  <c:v>15.620135224957156</c:v>
                </c:pt>
                <c:pt idx="27">
                  <c:v>15.621486457847395</c:v>
                </c:pt>
                <c:pt idx="28">
                  <c:v>15.622462393002703</c:v>
                </c:pt>
                <c:pt idx="29">
                  <c:v>15.623167258393343</c:v>
                </c:pt>
                <c:pt idx="30">
                  <c:v>15.623676340013381</c:v>
                </c:pt>
                <c:pt idx="31">
                  <c:v>15.62404401642091</c:v>
                </c:pt>
                <c:pt idx="32">
                  <c:v>15.624309563804498</c:v>
                </c:pt>
                <c:pt idx="33">
                  <c:v>15.624501349753269</c:v>
                </c:pt>
                <c:pt idx="34">
                  <c:v>15.624639862728348</c:v>
                </c:pt>
                <c:pt idx="35">
                  <c:v>15.624739900346965</c:v>
                </c:pt>
                <c:pt idx="36">
                  <c:v>15.624812149983317</c:v>
                </c:pt>
                <c:pt idx="37">
                  <c:v>15.624864330404096</c:v>
                </c:pt>
                <c:pt idx="38">
                  <c:v>15.624902016330241</c:v>
                </c:pt>
                <c:pt idx="39">
                  <c:v>15.624929233978357</c:v>
                </c:pt>
                <c:pt idx="40">
                  <c:v>15.624948891186808</c:v>
                </c:pt>
                <c:pt idx="41">
                  <c:v>15.624963088069041</c:v>
                </c:pt>
                <c:pt idx="42">
                  <c:v>15.624973341377814</c:v>
                </c:pt>
                <c:pt idx="43">
                  <c:v>15.624980746547834</c:v>
                </c:pt>
                <c:pt idx="44">
                  <c:v>15.624986094727527</c:v>
                </c:pt>
                <c:pt idx="45">
                  <c:v>15.62498995730245</c:v>
                </c:pt>
                <c:pt idx="46">
                  <c:v>15.624992746940258</c:v>
                </c:pt>
                <c:pt idx="47">
                  <c:v>15.624994761678867</c:v>
                </c:pt>
                <c:pt idx="48">
                  <c:v>15.624996216767961</c:v>
                </c:pt>
                <c:pt idx="49">
                  <c:v>15.624997267665695</c:v>
                </c:pt>
                <c:pt idx="50">
                  <c:v>15.624998026647416</c:v>
                </c:pt>
                <c:pt idx="51">
                  <c:v>15.624998574800895</c:v>
                </c:pt>
                <c:pt idx="52">
                  <c:v>15.624998970689527</c:v>
                </c:pt>
                <c:pt idx="53">
                  <c:v>15.624999256609097</c:v>
                </c:pt>
                <c:pt idx="54">
                  <c:v>15.624999463106569</c:v>
                </c:pt>
                <c:pt idx="55">
                  <c:v>15.624999612243631</c:v>
                </c:pt>
                <c:pt idx="56">
                  <c:v>15.624999719953731</c:v>
                </c:pt>
                <c:pt idx="57">
                  <c:v>15.624999797744358</c:v>
                </c:pt>
                <c:pt idx="58">
                  <c:v>15.624999853926479</c:v>
                </c:pt>
                <c:pt idx="59">
                  <c:v>15.624999894502457</c:v>
                </c:pt>
                <c:pt idx="60">
                  <c:v>15.62499992380733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6-4835-8D8F-ADA50AF67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w (lb)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Exacto von Bertalanffy: w(t)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Exacto_vB!$B$9:$B$69</c:f>
              <c:numCache>
                <c:formatCode>General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cat>
          <c:val>
            <c:numRef>
              <c:f>Exacto_vB!$C$9:$C$69</c:f>
              <c:numCache>
                <c:formatCode>General</c:formatCode>
                <c:ptCount val="61"/>
                <c:pt idx="0">
                  <c:v>0.49999999999999989</c:v>
                </c:pt>
                <c:pt idx="1">
                  <c:v>2.0843152107295784</c:v>
                </c:pt>
                <c:pt idx="2">
                  <c:v>4.2827555620548496</c:v>
                </c:pt>
                <c:pt idx="3">
                  <c:v>6.5632298752638647</c:v>
                </c:pt>
                <c:pt idx="4">
                  <c:v>8.6179536998015553</c:v>
                </c:pt>
                <c:pt idx="5">
                  <c:v>10.32778316190408</c:v>
                </c:pt>
                <c:pt idx="6">
                  <c:v>11.682827794697335</c:v>
                </c:pt>
                <c:pt idx="7">
                  <c:v>12.72337017559216</c:v>
                </c:pt>
                <c:pt idx="8">
                  <c:v>13.505764225663038</c:v>
                </c:pt>
                <c:pt idx="9">
                  <c:v>14.085669381214011</c:v>
                </c:pt>
                <c:pt idx="10">
                  <c:v>14.511241432742152</c:v>
                </c:pt>
                <c:pt idx="11">
                  <c:v>14.821391378285281</c:v>
                </c:pt>
                <c:pt idx="12">
                  <c:v>15.046320272748767</c:v>
                </c:pt>
                <c:pt idx="13">
                  <c:v>15.208880658784741</c:v>
                </c:pt>
                <c:pt idx="14">
                  <c:v>15.326077495607297</c:v>
                </c:pt>
                <c:pt idx="15">
                  <c:v>15.410421916078052</c:v>
                </c:pt>
                <c:pt idx="16">
                  <c:v>15.471047256912549</c:v>
                </c:pt>
                <c:pt idx="17">
                  <c:v>15.514584853895897</c:v>
                </c:pt>
                <c:pt idx="18">
                  <c:v>15.545831085170796</c:v>
                </c:pt>
                <c:pt idx="19">
                  <c:v>15.568245769341994</c:v>
                </c:pt>
                <c:pt idx="20">
                  <c:v>15.584319835435055</c:v>
                </c:pt>
                <c:pt idx="21">
                  <c:v>15.595844208723456</c:v>
                </c:pt>
                <c:pt idx="22">
                  <c:v>15.604105275992836</c:v>
                </c:pt>
                <c:pt idx="23">
                  <c:v>15.610026383030911</c:v>
                </c:pt>
                <c:pt idx="24">
                  <c:v>15.614269962644217</c:v>
                </c:pt>
                <c:pt idx="25">
                  <c:v>15.617311093221669</c:v>
                </c:pt>
                <c:pt idx="26">
                  <c:v>15.619490401319286</c:v>
                </c:pt>
                <c:pt idx="27">
                  <c:v>15.621052068480221</c:v>
                </c:pt>
                <c:pt idx="28">
                  <c:v>15.622171115909508</c:v>
                </c:pt>
                <c:pt idx="29">
                  <c:v>15.622972981296165</c:v>
                </c:pt>
                <c:pt idx="30">
                  <c:v>15.62354755982661</c:v>
                </c:pt>
                <c:pt idx="31">
                  <c:v>15.623959271997585</c:v>
                </c:pt>
                <c:pt idx="32">
                  <c:v>15.624254281107088</c:v>
                </c:pt>
                <c:pt idx="33">
                  <c:v>15.624465666654659</c:v>
                </c:pt>
                <c:pt idx="34">
                  <c:v>15.624617132190611</c:v>
                </c:pt>
                <c:pt idx="35">
                  <c:v>15.624725662591569</c:v>
                </c:pt>
                <c:pt idx="36">
                  <c:v>15.624803428331084</c:v>
                </c:pt>
                <c:pt idx="37">
                  <c:v>15.624859150077018</c:v>
                </c:pt>
                <c:pt idx="38">
                  <c:v>15.624899076534122</c:v>
                </c:pt>
                <c:pt idx="39">
                  <c:v>15.624927685132597</c:v>
                </c:pt>
                <c:pt idx="40">
                  <c:v>15.624948184110629</c:v>
                </c:pt>
                <c:pt idx="41">
                  <c:v>15.624962872281239</c:v>
                </c:pt>
                <c:pt idx="42">
                  <c:v>15.624973396821051</c:v>
                </c:pt>
                <c:pt idx="43">
                  <c:v>15.624980937986258</c:v>
                </c:pt>
                <c:pt idx="44">
                  <c:v>15.624986341468736</c:v>
                </c:pt>
                <c:pt idx="45">
                  <c:v>15.624990213233881</c:v>
                </c:pt>
                <c:pt idx="46">
                  <c:v>15.624992987475231</c:v>
                </c:pt>
                <c:pt idx="47">
                  <c:v>15.624994975306228</c:v>
                </c:pt>
                <c:pt idx="48">
                  <c:v>15.624996399649477</c:v>
                </c:pt>
                <c:pt idx="49">
                  <c:v>15.624997420236065</c:v>
                </c:pt>
                <c:pt idx="50">
                  <c:v>15.624998151518339</c:v>
                </c:pt>
                <c:pt idx="51">
                  <c:v>15.624998675504999</c:v>
                </c:pt>
                <c:pt idx="52">
                  <c:v>15.624999050957848</c:v>
                </c:pt>
                <c:pt idx="53">
                  <c:v>15.624999319981583</c:v>
                </c:pt>
                <c:pt idx="54">
                  <c:v>15.624999512745509</c:v>
                </c:pt>
                <c:pt idx="55">
                  <c:v>15.624999650866895</c:v>
                </c:pt>
                <c:pt idx="56">
                  <c:v>15.624999749835204</c:v>
                </c:pt>
                <c:pt idx="57">
                  <c:v>15.624999820749087</c:v>
                </c:pt>
                <c:pt idx="58">
                  <c:v>15.624999871561107</c:v>
                </c:pt>
                <c:pt idx="59">
                  <c:v>15.624999907969517</c:v>
                </c:pt>
                <c:pt idx="60">
                  <c:v>15.624999934057275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A-4C99-89FE-1F56CD21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w (lb)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971742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598365</xdr:colOff>
      <xdr:row>7</xdr:row>
      <xdr:rowOff>48846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27214</xdr:colOff>
      <xdr:row>8</xdr:row>
      <xdr:rowOff>36285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zoomScale="66" workbookViewId="0">
      <pane ySplit="7" topLeftCell="A8" activePane="bottomLeft" state="frozen"/>
      <selection pane="bottomLeft" activeCell="A8" sqref="A8"/>
    </sheetView>
  </sheetViews>
  <sheetFormatPr baseColWidth="10" defaultColWidth="8.7265625" defaultRowHeight="14.5" x14ac:dyDescent="0.35"/>
  <cols>
    <col min="1" max="11" width="18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>
        <v>5</v>
      </c>
    </row>
    <row r="3" spans="1:5" x14ac:dyDescent="0.35">
      <c r="A3" t="s">
        <v>3</v>
      </c>
      <c r="B3">
        <v>2</v>
      </c>
    </row>
    <row r="4" spans="1:5" x14ac:dyDescent="0.35">
      <c r="A4" t="s">
        <v>4</v>
      </c>
      <c r="B4">
        <v>0.5</v>
      </c>
    </row>
    <row r="5" spans="1:5" x14ac:dyDescent="0.35">
      <c r="A5" t="s">
        <v>5</v>
      </c>
      <c r="B5">
        <v>0.5</v>
      </c>
    </row>
    <row r="6" spans="1:5" x14ac:dyDescent="0.35">
      <c r="A6" t="s">
        <v>6</v>
      </c>
      <c r="B6" t="s">
        <v>7</v>
      </c>
    </row>
    <row r="8" spans="1:5" x14ac:dyDescent="0.35">
      <c r="A8" t="s">
        <v>8</v>
      </c>
      <c r="B8" t="s">
        <v>9</v>
      </c>
      <c r="C8" t="s">
        <v>10</v>
      </c>
      <c r="D8" t="s">
        <v>11</v>
      </c>
      <c r="E8" t="s">
        <v>12</v>
      </c>
    </row>
    <row r="9" spans="1:5" x14ac:dyDescent="0.35">
      <c r="A9">
        <v>0</v>
      </c>
      <c r="B9">
        <v>0</v>
      </c>
      <c r="C9">
        <f>$B$5</f>
        <v>0.5</v>
      </c>
      <c r="D9">
        <f t="shared" ref="D9:D40" si="0">$B$2 * POWER(C9,2/3) - $B$3 * C9</f>
        <v>2.1498026247371831</v>
      </c>
      <c r="E9">
        <f t="shared" ref="E9:E40" si="1">C9 + $B$4 * D9</f>
        <v>1.5749013123685915</v>
      </c>
    </row>
    <row r="10" spans="1:5" x14ac:dyDescent="0.35">
      <c r="A10">
        <v>1</v>
      </c>
      <c r="B10">
        <f t="shared" ref="B10:B41" si="2">B9 + $B$4</f>
        <v>0.5</v>
      </c>
      <c r="C10">
        <f t="shared" ref="C10:C41" si="3">E9</f>
        <v>1.5749013123685915</v>
      </c>
      <c r="D10">
        <f t="shared" si="0"/>
        <v>3.6183825804897447</v>
      </c>
      <c r="E10">
        <f t="shared" si="1"/>
        <v>3.3840926026134639</v>
      </c>
    </row>
    <row r="11" spans="1:5" x14ac:dyDescent="0.35">
      <c r="A11">
        <v>2</v>
      </c>
      <c r="B11">
        <f t="shared" si="2"/>
        <v>1</v>
      </c>
      <c r="C11">
        <f t="shared" si="3"/>
        <v>3.3840926026134639</v>
      </c>
      <c r="D11">
        <f t="shared" si="0"/>
        <v>4.5020115164563581</v>
      </c>
      <c r="E11">
        <f t="shared" si="1"/>
        <v>5.635098360841643</v>
      </c>
    </row>
    <row r="12" spans="1:5" x14ac:dyDescent="0.35">
      <c r="A12">
        <v>3</v>
      </c>
      <c r="B12">
        <f t="shared" si="2"/>
        <v>1.5</v>
      </c>
      <c r="C12">
        <f t="shared" si="3"/>
        <v>5.635098360841643</v>
      </c>
      <c r="D12">
        <f t="shared" si="0"/>
        <v>4.5630873993193379</v>
      </c>
      <c r="E12">
        <f t="shared" si="1"/>
        <v>7.9166420605013119</v>
      </c>
    </row>
    <row r="13" spans="1:5" x14ac:dyDescent="0.35">
      <c r="A13">
        <v>4</v>
      </c>
      <c r="B13">
        <f t="shared" si="2"/>
        <v>2</v>
      </c>
      <c r="C13">
        <f t="shared" si="3"/>
        <v>7.9166420605013119</v>
      </c>
      <c r="D13">
        <f t="shared" si="0"/>
        <v>4.0275435867173393</v>
      </c>
      <c r="E13">
        <f t="shared" si="1"/>
        <v>9.9304138538599815</v>
      </c>
    </row>
    <row r="14" spans="1:5" x14ac:dyDescent="0.35">
      <c r="A14">
        <v>5</v>
      </c>
      <c r="B14">
        <f t="shared" si="2"/>
        <v>2.5</v>
      </c>
      <c r="C14">
        <f t="shared" si="3"/>
        <v>9.9304138538599815</v>
      </c>
      <c r="D14">
        <f t="shared" si="0"/>
        <v>3.2393277815832846</v>
      </c>
      <c r="E14">
        <f t="shared" si="1"/>
        <v>11.550077744651624</v>
      </c>
    </row>
    <row r="15" spans="1:5" x14ac:dyDescent="0.35">
      <c r="A15">
        <v>6</v>
      </c>
      <c r="B15">
        <f t="shared" si="2"/>
        <v>3</v>
      </c>
      <c r="C15">
        <f t="shared" si="3"/>
        <v>11.550077744651624</v>
      </c>
      <c r="D15">
        <f t="shared" si="0"/>
        <v>2.4480230609438394</v>
      </c>
      <c r="E15">
        <f t="shared" si="1"/>
        <v>12.774089275123544</v>
      </c>
    </row>
    <row r="16" spans="1:5" x14ac:dyDescent="0.35">
      <c r="A16">
        <v>7</v>
      </c>
      <c r="B16">
        <f t="shared" si="2"/>
        <v>3.5</v>
      </c>
      <c r="C16">
        <f t="shared" si="3"/>
        <v>12.774089275123544</v>
      </c>
      <c r="D16">
        <f t="shared" si="0"/>
        <v>1.7745018649717572</v>
      </c>
      <c r="E16">
        <f t="shared" si="1"/>
        <v>13.661340207609422</v>
      </c>
    </row>
    <row r="17" spans="1:5" x14ac:dyDescent="0.35">
      <c r="A17">
        <v>8</v>
      </c>
      <c r="B17">
        <f t="shared" si="2"/>
        <v>4</v>
      </c>
      <c r="C17">
        <f t="shared" si="3"/>
        <v>13.661340207609422</v>
      </c>
      <c r="D17">
        <f t="shared" si="0"/>
        <v>1.2509578335170524</v>
      </c>
      <c r="E17">
        <f t="shared" si="1"/>
        <v>14.286819124367948</v>
      </c>
    </row>
    <row r="18" spans="1:5" x14ac:dyDescent="0.35">
      <c r="A18">
        <v>9</v>
      </c>
      <c r="B18">
        <f t="shared" si="2"/>
        <v>4.5</v>
      </c>
      <c r="C18">
        <f t="shared" si="3"/>
        <v>14.286819124367948</v>
      </c>
      <c r="D18">
        <f t="shared" si="0"/>
        <v>0.86563165829121047</v>
      </c>
      <c r="E18">
        <f t="shared" si="1"/>
        <v>14.719634953513554</v>
      </c>
    </row>
    <row r="19" spans="1:5" x14ac:dyDescent="0.35">
      <c r="A19">
        <v>10</v>
      </c>
      <c r="B19">
        <f t="shared" si="2"/>
        <v>5</v>
      </c>
      <c r="C19">
        <f t="shared" si="3"/>
        <v>14.719634953513554</v>
      </c>
      <c r="D19">
        <f t="shared" si="0"/>
        <v>0.59160816895234447</v>
      </c>
      <c r="E19">
        <f t="shared" si="1"/>
        <v>15.015439037989726</v>
      </c>
    </row>
    <row r="20" spans="1:5" x14ac:dyDescent="0.35">
      <c r="A20">
        <v>11</v>
      </c>
      <c r="B20">
        <f t="shared" si="2"/>
        <v>5.5</v>
      </c>
      <c r="C20">
        <f t="shared" si="3"/>
        <v>15.015439037989726</v>
      </c>
      <c r="D20">
        <f t="shared" si="0"/>
        <v>0.40099573442046221</v>
      </c>
      <c r="E20">
        <f t="shared" si="1"/>
        <v>15.215936905199957</v>
      </c>
    </row>
    <row r="21" spans="1:5" x14ac:dyDescent="0.35">
      <c r="A21">
        <v>12</v>
      </c>
      <c r="B21">
        <f t="shared" si="2"/>
        <v>6</v>
      </c>
      <c r="C21">
        <f t="shared" si="3"/>
        <v>15.215936905199957</v>
      </c>
      <c r="D21">
        <f t="shared" si="0"/>
        <v>0.27030076699496774</v>
      </c>
      <c r="E21">
        <f t="shared" si="1"/>
        <v>15.351087288697441</v>
      </c>
    </row>
    <row r="22" spans="1:5" x14ac:dyDescent="0.35">
      <c r="A22">
        <v>13</v>
      </c>
      <c r="B22">
        <f t="shared" si="2"/>
        <v>6.5</v>
      </c>
      <c r="C22">
        <f t="shared" si="3"/>
        <v>15.351087288697441</v>
      </c>
      <c r="D22">
        <f t="shared" si="0"/>
        <v>0.181533006985795</v>
      </c>
      <c r="E22">
        <f t="shared" si="1"/>
        <v>15.441853792190338</v>
      </c>
    </row>
    <row r="23" spans="1:5" x14ac:dyDescent="0.35">
      <c r="A23">
        <v>14</v>
      </c>
      <c r="B23">
        <f t="shared" si="2"/>
        <v>7</v>
      </c>
      <c r="C23">
        <f t="shared" si="3"/>
        <v>15.441853792190338</v>
      </c>
      <c r="D23">
        <f t="shared" si="0"/>
        <v>0.12161792019751871</v>
      </c>
      <c r="E23">
        <f t="shared" si="1"/>
        <v>15.502662752289098</v>
      </c>
    </row>
    <row r="24" spans="1:5" x14ac:dyDescent="0.35">
      <c r="A24">
        <v>15</v>
      </c>
      <c r="B24">
        <f t="shared" si="2"/>
        <v>7.5</v>
      </c>
      <c r="C24">
        <f t="shared" si="3"/>
        <v>15.502662752289098</v>
      </c>
      <c r="D24">
        <f t="shared" si="0"/>
        <v>8.1344565544483771E-2</v>
      </c>
      <c r="E24">
        <f t="shared" si="1"/>
        <v>15.54333503506134</v>
      </c>
    </row>
    <row r="25" spans="1:5" x14ac:dyDescent="0.35">
      <c r="A25">
        <v>16</v>
      </c>
      <c r="B25">
        <f t="shared" si="2"/>
        <v>8</v>
      </c>
      <c r="C25">
        <f t="shared" si="3"/>
        <v>15.54333503506134</v>
      </c>
      <c r="D25">
        <f t="shared" si="0"/>
        <v>5.4348238587735409E-2</v>
      </c>
      <c r="E25">
        <f t="shared" si="1"/>
        <v>15.570509154355207</v>
      </c>
    </row>
    <row r="26" spans="1:5" x14ac:dyDescent="0.35">
      <c r="A26">
        <v>17</v>
      </c>
      <c r="B26">
        <f t="shared" si="2"/>
        <v>8.5</v>
      </c>
      <c r="C26">
        <f t="shared" si="3"/>
        <v>15.570509154355207</v>
      </c>
      <c r="D26">
        <f t="shared" si="0"/>
        <v>3.6284935477027602E-2</v>
      </c>
      <c r="E26">
        <f t="shared" si="1"/>
        <v>15.588651622093721</v>
      </c>
    </row>
    <row r="27" spans="1:5" x14ac:dyDescent="0.35">
      <c r="A27">
        <v>18</v>
      </c>
      <c r="B27">
        <f t="shared" si="2"/>
        <v>9</v>
      </c>
      <c r="C27">
        <f t="shared" si="3"/>
        <v>15.588651622093721</v>
      </c>
      <c r="D27">
        <f t="shared" si="0"/>
        <v>2.4213442018389486E-2</v>
      </c>
      <c r="E27">
        <f t="shared" si="1"/>
        <v>15.600758343102916</v>
      </c>
    </row>
    <row r="28" spans="1:5" x14ac:dyDescent="0.35">
      <c r="A28">
        <v>19</v>
      </c>
      <c r="B28">
        <f t="shared" si="2"/>
        <v>9.5</v>
      </c>
      <c r="C28">
        <f t="shared" si="3"/>
        <v>15.600758343102916</v>
      </c>
      <c r="D28">
        <f t="shared" si="0"/>
        <v>1.6152741028136575E-2</v>
      </c>
      <c r="E28">
        <f t="shared" si="1"/>
        <v>15.608834713616984</v>
      </c>
    </row>
    <row r="29" spans="1:5" x14ac:dyDescent="0.35">
      <c r="A29">
        <v>20</v>
      </c>
      <c r="B29">
        <f t="shared" si="2"/>
        <v>10</v>
      </c>
      <c r="C29">
        <f t="shared" si="3"/>
        <v>15.608834713616984</v>
      </c>
      <c r="D29">
        <f t="shared" si="0"/>
        <v>1.0773139377644014E-2</v>
      </c>
      <c r="E29">
        <f t="shared" si="1"/>
        <v>15.614221283305806</v>
      </c>
    </row>
    <row r="30" spans="1:5" x14ac:dyDescent="0.35">
      <c r="A30">
        <v>21</v>
      </c>
      <c r="B30">
        <f t="shared" si="2"/>
        <v>10.5</v>
      </c>
      <c r="C30">
        <f t="shared" si="3"/>
        <v>15.614221283305806</v>
      </c>
      <c r="D30">
        <f t="shared" si="0"/>
        <v>7.184158274441188E-3</v>
      </c>
      <c r="E30">
        <f t="shared" si="1"/>
        <v>15.617813362443027</v>
      </c>
    </row>
    <row r="31" spans="1:5" x14ac:dyDescent="0.35">
      <c r="A31">
        <v>22</v>
      </c>
      <c r="B31">
        <f t="shared" si="2"/>
        <v>11</v>
      </c>
      <c r="C31">
        <f t="shared" si="3"/>
        <v>15.617813362443027</v>
      </c>
      <c r="D31">
        <f t="shared" si="0"/>
        <v>4.7903570085381375E-3</v>
      </c>
      <c r="E31">
        <f t="shared" si="1"/>
        <v>15.620208540947296</v>
      </c>
    </row>
    <row r="32" spans="1:5" x14ac:dyDescent="0.35">
      <c r="A32">
        <v>23</v>
      </c>
      <c r="B32">
        <f t="shared" si="2"/>
        <v>11.5</v>
      </c>
      <c r="C32">
        <f t="shared" si="3"/>
        <v>15.620208540947296</v>
      </c>
      <c r="D32">
        <f t="shared" si="0"/>
        <v>3.1939794757143147E-3</v>
      </c>
      <c r="E32">
        <f t="shared" si="1"/>
        <v>15.621805530685153</v>
      </c>
    </row>
    <row r="33" spans="1:5" x14ac:dyDescent="0.35">
      <c r="A33">
        <v>24</v>
      </c>
      <c r="B33">
        <f t="shared" si="2"/>
        <v>12</v>
      </c>
      <c r="C33">
        <f t="shared" si="3"/>
        <v>15.621805530685153</v>
      </c>
      <c r="D33">
        <f t="shared" si="0"/>
        <v>2.1295010641360079E-3</v>
      </c>
      <c r="E33">
        <f t="shared" si="1"/>
        <v>15.622870281217221</v>
      </c>
    </row>
    <row r="34" spans="1:5" x14ac:dyDescent="0.35">
      <c r="A34">
        <v>25</v>
      </c>
      <c r="B34">
        <f t="shared" si="2"/>
        <v>12.5</v>
      </c>
      <c r="C34">
        <f t="shared" si="3"/>
        <v>15.622870281217221</v>
      </c>
      <c r="D34">
        <f t="shared" si="0"/>
        <v>1.4197480101785231E-3</v>
      </c>
      <c r="E34">
        <f t="shared" si="1"/>
        <v>15.62358015522231</v>
      </c>
    </row>
    <row r="35" spans="1:5" x14ac:dyDescent="0.35">
      <c r="A35">
        <v>26</v>
      </c>
      <c r="B35">
        <f t="shared" si="2"/>
        <v>13</v>
      </c>
      <c r="C35">
        <f t="shared" si="3"/>
        <v>15.62358015522231</v>
      </c>
      <c r="D35">
        <f t="shared" si="0"/>
        <v>9.46534512543451E-4</v>
      </c>
      <c r="E35">
        <f t="shared" si="1"/>
        <v>15.624053422478582</v>
      </c>
    </row>
    <row r="36" spans="1:5" x14ac:dyDescent="0.35">
      <c r="A36">
        <v>27</v>
      </c>
      <c r="B36">
        <f t="shared" si="2"/>
        <v>13.5</v>
      </c>
      <c r="C36">
        <f t="shared" si="3"/>
        <v>15.624053422478582</v>
      </c>
      <c r="D36">
        <f t="shared" si="0"/>
        <v>6.3103893736027317E-4</v>
      </c>
      <c r="E36">
        <f t="shared" si="1"/>
        <v>15.624368941947262</v>
      </c>
    </row>
    <row r="37" spans="1:5" x14ac:dyDescent="0.35">
      <c r="A37">
        <v>28</v>
      </c>
      <c r="B37">
        <f t="shared" si="2"/>
        <v>14</v>
      </c>
      <c r="C37">
        <f t="shared" si="3"/>
        <v>15.624368941947262</v>
      </c>
      <c r="D37">
        <f t="shared" si="0"/>
        <v>4.2069970461611206E-4</v>
      </c>
      <c r="E37">
        <f t="shared" si="1"/>
        <v>15.62457929179957</v>
      </c>
    </row>
    <row r="38" spans="1:5" x14ac:dyDescent="0.35">
      <c r="A38">
        <v>29</v>
      </c>
      <c r="B38">
        <f t="shared" si="2"/>
        <v>14.5</v>
      </c>
      <c r="C38">
        <f t="shared" si="3"/>
        <v>15.62457929179957</v>
      </c>
      <c r="D38">
        <f t="shared" si="0"/>
        <v>2.8046961632099965E-4</v>
      </c>
      <c r="E38">
        <f t="shared" si="1"/>
        <v>15.624719526607731</v>
      </c>
    </row>
    <row r="39" spans="1:5" x14ac:dyDescent="0.35">
      <c r="A39">
        <v>30</v>
      </c>
      <c r="B39">
        <f t="shared" si="2"/>
        <v>15</v>
      </c>
      <c r="C39">
        <f t="shared" si="3"/>
        <v>15.624719526607731</v>
      </c>
      <c r="D39">
        <f t="shared" si="0"/>
        <v>1.8698114270421229E-4</v>
      </c>
      <c r="E39">
        <f t="shared" si="1"/>
        <v>15.624813017179083</v>
      </c>
    </row>
    <row r="40" spans="1:5" x14ac:dyDescent="0.35">
      <c r="A40">
        <v>31</v>
      </c>
      <c r="B40">
        <f t="shared" si="2"/>
        <v>15.5</v>
      </c>
      <c r="C40">
        <f t="shared" si="3"/>
        <v>15.624813017179083</v>
      </c>
      <c r="D40">
        <f t="shared" si="0"/>
        <v>1.2465471669997896E-4</v>
      </c>
      <c r="E40">
        <f t="shared" si="1"/>
        <v>15.624875344537433</v>
      </c>
    </row>
    <row r="41" spans="1:5" x14ac:dyDescent="0.35">
      <c r="A41">
        <v>32</v>
      </c>
      <c r="B41">
        <f t="shared" si="2"/>
        <v>16</v>
      </c>
      <c r="C41">
        <f t="shared" si="3"/>
        <v>15.624875344537433</v>
      </c>
      <c r="D41">
        <f t="shared" ref="D41:D72" si="4">$B$2 * POWER(C41,2/3) - $B$3 * C41</f>
        <v>8.3103420713825926E-5</v>
      </c>
      <c r="E41">
        <f t="shared" ref="E41:E72" si="5">C41 + $B$4 * D41</f>
        <v>15.62491689624779</v>
      </c>
    </row>
    <row r="42" spans="1:5" x14ac:dyDescent="0.35">
      <c r="A42">
        <v>33</v>
      </c>
      <c r="B42">
        <f t="shared" ref="B42:B69" si="6">B41 + $B$4</f>
        <v>16.5</v>
      </c>
      <c r="C42">
        <f t="shared" ref="C42:C69" si="7">E41</f>
        <v>15.62491689624779</v>
      </c>
      <c r="D42">
        <f t="shared" si="4"/>
        <v>5.5402403251747501E-5</v>
      </c>
      <c r="E42">
        <f t="shared" si="5"/>
        <v>15.624944597449415</v>
      </c>
    </row>
    <row r="43" spans="1:5" x14ac:dyDescent="0.35">
      <c r="A43">
        <v>34</v>
      </c>
      <c r="B43">
        <f t="shared" si="6"/>
        <v>17</v>
      </c>
      <c r="C43">
        <f t="shared" si="7"/>
        <v>15.624944597449415</v>
      </c>
      <c r="D43">
        <f t="shared" si="4"/>
        <v>3.6934990067294393E-5</v>
      </c>
      <c r="E43">
        <f t="shared" si="5"/>
        <v>15.624963064944449</v>
      </c>
    </row>
    <row r="44" spans="1:5" x14ac:dyDescent="0.35">
      <c r="A44">
        <v>35</v>
      </c>
      <c r="B44">
        <f t="shared" si="6"/>
        <v>17.5</v>
      </c>
      <c r="C44">
        <f t="shared" si="7"/>
        <v>15.624963064944449</v>
      </c>
      <c r="D44">
        <f t="shared" si="4"/>
        <v>2.4623350967090119E-5</v>
      </c>
      <c r="E44">
        <f t="shared" si="5"/>
        <v>15.624975376619933</v>
      </c>
    </row>
    <row r="45" spans="1:5" x14ac:dyDescent="0.35">
      <c r="A45">
        <v>36</v>
      </c>
      <c r="B45">
        <f t="shared" si="6"/>
        <v>18</v>
      </c>
      <c r="C45">
        <f t="shared" si="7"/>
        <v>15.624975376619933</v>
      </c>
      <c r="D45">
        <f t="shared" si="4"/>
        <v>1.6415578080852811E-5</v>
      </c>
      <c r="E45">
        <f t="shared" si="5"/>
        <v>15.624983584408973</v>
      </c>
    </row>
    <row r="46" spans="1:5" x14ac:dyDescent="0.35">
      <c r="A46">
        <v>37</v>
      </c>
      <c r="B46">
        <f t="shared" si="6"/>
        <v>18.5</v>
      </c>
      <c r="C46">
        <f t="shared" si="7"/>
        <v>15.624983584408973</v>
      </c>
      <c r="D46">
        <f t="shared" si="4"/>
        <v>1.0943723520284721E-5</v>
      </c>
      <c r="E46">
        <f t="shared" si="5"/>
        <v>15.624989056270733</v>
      </c>
    </row>
    <row r="47" spans="1:5" x14ac:dyDescent="0.35">
      <c r="A47">
        <v>38</v>
      </c>
      <c r="B47">
        <f t="shared" si="6"/>
        <v>19</v>
      </c>
      <c r="C47">
        <f t="shared" si="7"/>
        <v>15.624989056270733</v>
      </c>
      <c r="D47">
        <f t="shared" si="4"/>
        <v>7.2958178058968315E-6</v>
      </c>
      <c r="E47">
        <f t="shared" si="5"/>
        <v>15.624992704179636</v>
      </c>
    </row>
    <row r="48" spans="1:5" x14ac:dyDescent="0.35">
      <c r="A48">
        <v>39</v>
      </c>
      <c r="B48">
        <f t="shared" si="6"/>
        <v>19.5</v>
      </c>
      <c r="C48">
        <f t="shared" si="7"/>
        <v>15.624992704179636</v>
      </c>
      <c r="D48">
        <f t="shared" si="4"/>
        <v>4.8638794822863929E-6</v>
      </c>
      <c r="E48">
        <f t="shared" si="5"/>
        <v>15.624995136119377</v>
      </c>
    </row>
    <row r="49" spans="1:5" x14ac:dyDescent="0.35">
      <c r="A49">
        <v>40</v>
      </c>
      <c r="B49">
        <f t="shared" si="6"/>
        <v>20</v>
      </c>
      <c r="C49">
        <f t="shared" si="7"/>
        <v>15.624995136119377</v>
      </c>
      <c r="D49">
        <f t="shared" si="4"/>
        <v>3.2425867466656655E-6</v>
      </c>
      <c r="E49">
        <f t="shared" si="5"/>
        <v>15.624996757412751</v>
      </c>
    </row>
    <row r="50" spans="1:5" x14ac:dyDescent="0.35">
      <c r="A50">
        <v>41</v>
      </c>
      <c r="B50">
        <f t="shared" si="6"/>
        <v>20.5</v>
      </c>
      <c r="C50">
        <f t="shared" si="7"/>
        <v>15.624996757412751</v>
      </c>
      <c r="D50">
        <f t="shared" si="4"/>
        <v>2.1617246837024595E-6</v>
      </c>
      <c r="E50">
        <f t="shared" si="5"/>
        <v>15.624997838275092</v>
      </c>
    </row>
    <row r="51" spans="1:5" x14ac:dyDescent="0.35">
      <c r="A51">
        <v>42</v>
      </c>
      <c r="B51">
        <f t="shared" si="6"/>
        <v>21</v>
      </c>
      <c r="C51">
        <f t="shared" si="7"/>
        <v>15.624997838275092</v>
      </c>
      <c r="D51">
        <f t="shared" si="4"/>
        <v>1.4411498696631497E-6</v>
      </c>
      <c r="E51">
        <f t="shared" si="5"/>
        <v>15.624998558850027</v>
      </c>
    </row>
    <row r="52" spans="1:5" x14ac:dyDescent="0.35">
      <c r="A52">
        <v>43</v>
      </c>
      <c r="B52">
        <f t="shared" si="6"/>
        <v>21.5</v>
      </c>
      <c r="C52">
        <f t="shared" si="7"/>
        <v>15.624998558850027</v>
      </c>
      <c r="D52">
        <f t="shared" si="4"/>
        <v>9.6076661648680783E-7</v>
      </c>
      <c r="E52">
        <f t="shared" si="5"/>
        <v>15.624999039233336</v>
      </c>
    </row>
    <row r="53" spans="1:5" x14ac:dyDescent="0.35">
      <c r="A53">
        <v>44</v>
      </c>
      <c r="B53">
        <f t="shared" si="6"/>
        <v>22</v>
      </c>
      <c r="C53">
        <f t="shared" si="7"/>
        <v>15.624999039233336</v>
      </c>
      <c r="D53">
        <f t="shared" si="4"/>
        <v>6.4051110015839186E-7</v>
      </c>
      <c r="E53">
        <f t="shared" si="5"/>
        <v>15.624999359488886</v>
      </c>
    </row>
    <row r="54" spans="1:5" x14ac:dyDescent="0.35">
      <c r="A54">
        <v>45</v>
      </c>
      <c r="B54">
        <f t="shared" si="6"/>
        <v>22.5</v>
      </c>
      <c r="C54">
        <f t="shared" si="7"/>
        <v>15.624999359488886</v>
      </c>
      <c r="D54">
        <f t="shared" si="4"/>
        <v>4.2700739655288089E-7</v>
      </c>
      <c r="E54">
        <f t="shared" si="5"/>
        <v>15.624999572992584</v>
      </c>
    </row>
    <row r="55" spans="1:5" x14ac:dyDescent="0.35">
      <c r="A55">
        <v>46</v>
      </c>
      <c r="B55">
        <f t="shared" si="6"/>
        <v>23</v>
      </c>
      <c r="C55">
        <f t="shared" si="7"/>
        <v>15.624999572992584</v>
      </c>
      <c r="D55">
        <f t="shared" si="4"/>
        <v>2.8467160717582374E-7</v>
      </c>
      <c r="E55">
        <f t="shared" si="5"/>
        <v>15.624999715328387</v>
      </c>
    </row>
    <row r="56" spans="1:5" x14ac:dyDescent="0.35">
      <c r="A56">
        <v>47</v>
      </c>
      <c r="B56">
        <f t="shared" si="6"/>
        <v>23.5</v>
      </c>
      <c r="C56">
        <f t="shared" si="7"/>
        <v>15.624999715328387</v>
      </c>
      <c r="D56">
        <f t="shared" si="4"/>
        <v>1.8978106908207337E-7</v>
      </c>
      <c r="E56">
        <f t="shared" si="5"/>
        <v>15.624999810218922</v>
      </c>
    </row>
    <row r="57" spans="1:5" x14ac:dyDescent="0.35">
      <c r="A57">
        <v>48</v>
      </c>
      <c r="B57">
        <f t="shared" si="6"/>
        <v>24</v>
      </c>
      <c r="C57">
        <f t="shared" si="7"/>
        <v>15.624999810218922</v>
      </c>
      <c r="D57">
        <f t="shared" si="4"/>
        <v>1.265207210110475E-7</v>
      </c>
      <c r="E57">
        <f t="shared" si="5"/>
        <v>15.624999873479283</v>
      </c>
    </row>
    <row r="58" spans="1:5" x14ac:dyDescent="0.35">
      <c r="A58">
        <v>49</v>
      </c>
      <c r="B58">
        <f t="shared" si="6"/>
        <v>24.5</v>
      </c>
      <c r="C58">
        <f t="shared" si="7"/>
        <v>15.624999873479283</v>
      </c>
      <c r="D58">
        <f t="shared" si="4"/>
        <v>8.434714615646044E-8</v>
      </c>
      <c r="E58">
        <f t="shared" si="5"/>
        <v>15.624999915652856</v>
      </c>
    </row>
    <row r="59" spans="1:5" x14ac:dyDescent="0.35">
      <c r="A59">
        <v>50</v>
      </c>
      <c r="B59">
        <f t="shared" si="6"/>
        <v>25</v>
      </c>
      <c r="C59">
        <f t="shared" si="7"/>
        <v>15.624999915652856</v>
      </c>
      <c r="D59">
        <f t="shared" si="4"/>
        <v>5.6231428402497841E-8</v>
      </c>
      <c r="E59">
        <f t="shared" si="5"/>
        <v>15.62499994376857</v>
      </c>
    </row>
    <row r="60" spans="1:5" x14ac:dyDescent="0.35">
      <c r="A60">
        <v>51</v>
      </c>
      <c r="B60">
        <f t="shared" si="6"/>
        <v>25.5</v>
      </c>
      <c r="C60">
        <f t="shared" si="7"/>
        <v>15.62499994376857</v>
      </c>
      <c r="D60">
        <f t="shared" si="4"/>
        <v>3.7487620119236453E-8</v>
      </c>
      <c r="E60">
        <f t="shared" si="5"/>
        <v>15.62499996251238</v>
      </c>
    </row>
    <row r="61" spans="1:5" x14ac:dyDescent="0.35">
      <c r="A61">
        <v>52</v>
      </c>
      <c r="B61">
        <f t="shared" si="6"/>
        <v>26</v>
      </c>
      <c r="C61">
        <f t="shared" si="7"/>
        <v>15.62499996251238</v>
      </c>
      <c r="D61">
        <f t="shared" si="4"/>
        <v>2.4991738456492385E-8</v>
      </c>
      <c r="E61">
        <f t="shared" si="5"/>
        <v>15.624999975008249</v>
      </c>
    </row>
    <row r="62" spans="1:5" x14ac:dyDescent="0.35">
      <c r="A62">
        <v>53</v>
      </c>
      <c r="B62">
        <f t="shared" si="6"/>
        <v>26.5</v>
      </c>
      <c r="C62">
        <f t="shared" si="7"/>
        <v>15.624999975008249</v>
      </c>
      <c r="D62">
        <f t="shared" si="4"/>
        <v>1.6661164892184388E-8</v>
      </c>
      <c r="E62">
        <f t="shared" si="5"/>
        <v>15.624999983338832</v>
      </c>
    </row>
    <row r="63" spans="1:5" x14ac:dyDescent="0.35">
      <c r="A63">
        <v>54</v>
      </c>
      <c r="B63">
        <f t="shared" si="6"/>
        <v>27</v>
      </c>
      <c r="C63">
        <f t="shared" si="7"/>
        <v>15.624999983338832</v>
      </c>
      <c r="D63">
        <f t="shared" si="4"/>
        <v>1.1107445629932045E-8</v>
      </c>
      <c r="E63">
        <f t="shared" si="5"/>
        <v>15.624999988892554</v>
      </c>
    </row>
    <row r="64" spans="1:5" x14ac:dyDescent="0.35">
      <c r="A64">
        <v>55</v>
      </c>
      <c r="B64">
        <f t="shared" si="6"/>
        <v>27.5</v>
      </c>
      <c r="C64">
        <f t="shared" si="7"/>
        <v>15.624999988892554</v>
      </c>
      <c r="D64">
        <f t="shared" si="4"/>
        <v>7.4049637532880297E-9</v>
      </c>
      <c r="E64">
        <f t="shared" si="5"/>
        <v>15.624999992595036</v>
      </c>
    </row>
    <row r="65" spans="1:5" x14ac:dyDescent="0.35">
      <c r="A65">
        <v>56</v>
      </c>
      <c r="B65">
        <f t="shared" si="6"/>
        <v>28</v>
      </c>
      <c r="C65">
        <f t="shared" si="7"/>
        <v>15.624999992595036</v>
      </c>
      <c r="D65">
        <f t="shared" si="4"/>
        <v>4.9366377652404481E-9</v>
      </c>
      <c r="E65">
        <f t="shared" si="5"/>
        <v>15.624999995063355</v>
      </c>
    </row>
    <row r="66" spans="1:5" x14ac:dyDescent="0.35">
      <c r="A66">
        <v>57</v>
      </c>
      <c r="B66">
        <f t="shared" si="6"/>
        <v>28.5</v>
      </c>
      <c r="C66">
        <f t="shared" si="7"/>
        <v>15.624999995063355</v>
      </c>
      <c r="D66">
        <f t="shared" si="4"/>
        <v>3.291091843493632E-9</v>
      </c>
      <c r="E66">
        <f t="shared" si="5"/>
        <v>15.624999996708901</v>
      </c>
    </row>
    <row r="67" spans="1:5" x14ac:dyDescent="0.35">
      <c r="A67">
        <v>58</v>
      </c>
      <c r="B67">
        <f t="shared" si="6"/>
        <v>29</v>
      </c>
      <c r="C67">
        <f t="shared" si="7"/>
        <v>15.624999996708901</v>
      </c>
      <c r="D67">
        <f t="shared" si="4"/>
        <v>2.1940600447578618E-9</v>
      </c>
      <c r="E67">
        <f t="shared" si="5"/>
        <v>15.624999997805931</v>
      </c>
    </row>
    <row r="68" spans="1:5" x14ac:dyDescent="0.35">
      <c r="A68">
        <v>59</v>
      </c>
      <c r="B68">
        <f t="shared" si="6"/>
        <v>29.5</v>
      </c>
      <c r="C68">
        <f t="shared" si="7"/>
        <v>15.624999997805931</v>
      </c>
      <c r="D68">
        <f t="shared" si="4"/>
        <v>1.462709064981027E-9</v>
      </c>
      <c r="E68">
        <f t="shared" si="5"/>
        <v>15.624999998537286</v>
      </c>
    </row>
    <row r="69" spans="1:5" x14ac:dyDescent="0.35">
      <c r="A69">
        <v>60</v>
      </c>
      <c r="B69">
        <f t="shared" si="6"/>
        <v>30</v>
      </c>
      <c r="C69">
        <f t="shared" si="7"/>
        <v>15.624999998537286</v>
      </c>
      <c r="D69">
        <f t="shared" si="4"/>
        <v>9.7513463970244629E-10</v>
      </c>
      <c r="E69">
        <f t="shared" si="5"/>
        <v>15.624999999024853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tabSelected="1" zoomScale="52" workbookViewId="0">
      <pane ySplit="7" topLeftCell="A8" activePane="bottomLeft" state="frozen"/>
      <selection pane="bottomLeft" activeCell="J45" sqref="J45"/>
    </sheetView>
  </sheetViews>
  <sheetFormatPr baseColWidth="10" defaultColWidth="8.7265625" defaultRowHeight="14.5" x14ac:dyDescent="0.35"/>
  <cols>
    <col min="1" max="11" width="18" customWidth="1"/>
  </cols>
  <sheetData>
    <row r="1" spans="1:8" x14ac:dyDescent="0.35">
      <c r="A1" t="s">
        <v>0</v>
      </c>
      <c r="B1" t="s">
        <v>1</v>
      </c>
    </row>
    <row r="2" spans="1:8" x14ac:dyDescent="0.35">
      <c r="A2" t="s">
        <v>2</v>
      </c>
      <c r="B2">
        <v>5</v>
      </c>
    </row>
    <row r="3" spans="1:8" x14ac:dyDescent="0.35">
      <c r="A3" t="s">
        <v>3</v>
      </c>
      <c r="B3">
        <v>2</v>
      </c>
    </row>
    <row r="4" spans="1:8" x14ac:dyDescent="0.35">
      <c r="A4" t="s">
        <v>4</v>
      </c>
      <c r="B4">
        <v>0.5</v>
      </c>
    </row>
    <row r="5" spans="1:8" x14ac:dyDescent="0.35">
      <c r="A5" t="s">
        <v>5</v>
      </c>
      <c r="B5">
        <v>0.5</v>
      </c>
    </row>
    <row r="6" spans="1:8" x14ac:dyDescent="0.35">
      <c r="A6" t="s">
        <v>6</v>
      </c>
      <c r="B6" t="s">
        <v>7</v>
      </c>
    </row>
    <row r="8" spans="1:8" x14ac:dyDescent="0.35">
      <c r="A8" t="s">
        <v>8</v>
      </c>
      <c r="B8" t="s">
        <v>9</v>
      </c>
      <c r="C8" t="s">
        <v>10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5">
      <c r="A9">
        <v>0</v>
      </c>
      <c r="B9">
        <v>0</v>
      </c>
      <c r="C9">
        <f>$B$5</f>
        <v>0.5</v>
      </c>
      <c r="D9">
        <f t="shared" ref="D9:D40" si="0">$B$2 * POWER(C9,2/3) - $B$3 * C9</f>
        <v>2.1498026247371831</v>
      </c>
      <c r="E9">
        <f t="shared" ref="E9:E40" si="1">C9 + $B$4 * D9</f>
        <v>1.5749013123685915</v>
      </c>
      <c r="F9">
        <f t="shared" ref="F9:F40" si="2">$B$2 * POWER(E9,2/3) - $B$3 * E9</f>
        <v>3.6183825804897447</v>
      </c>
      <c r="G9">
        <f t="shared" ref="G9:G40" si="3">C9 + ($B$4/2) * (D9 + F9)</f>
        <v>1.9420463013067319</v>
      </c>
      <c r="H9">
        <f>G9 - Euler_vB!E9</f>
        <v>0.3671449889381404</v>
      </c>
    </row>
    <row r="10" spans="1:8" x14ac:dyDescent="0.35">
      <c r="A10">
        <v>1</v>
      </c>
      <c r="B10">
        <f t="shared" ref="B10:B41" si="4">B9 + $B$4</f>
        <v>0.5</v>
      </c>
      <c r="C10">
        <f t="shared" ref="C10:C41" si="5">G9</f>
        <v>1.9420463013067319</v>
      </c>
      <c r="D10">
        <f t="shared" si="0"/>
        <v>3.8988362006114583</v>
      </c>
      <c r="E10">
        <f t="shared" si="1"/>
        <v>3.8914644016124611</v>
      </c>
      <c r="F10">
        <f t="shared" si="2"/>
        <v>4.5873279073770901</v>
      </c>
      <c r="G10">
        <f t="shared" si="3"/>
        <v>4.0635873283038695</v>
      </c>
      <c r="H10">
        <f>G10 - Euler_vB!E10</f>
        <v>0.67949472569040559</v>
      </c>
    </row>
    <row r="11" spans="1:8" x14ac:dyDescent="0.35">
      <c r="A11">
        <v>2</v>
      </c>
      <c r="B11">
        <f t="shared" si="4"/>
        <v>1</v>
      </c>
      <c r="C11">
        <f t="shared" si="5"/>
        <v>4.0635873283038695</v>
      </c>
      <c r="D11">
        <f t="shared" si="0"/>
        <v>4.605209570472601</v>
      </c>
      <c r="E11">
        <f t="shared" si="1"/>
        <v>6.36619211354017</v>
      </c>
      <c r="F11">
        <f t="shared" si="2"/>
        <v>4.4423423256776626</v>
      </c>
      <c r="G11">
        <f t="shared" si="3"/>
        <v>6.3254753023414354</v>
      </c>
      <c r="H11">
        <f>G11 - Euler_vB!E11</f>
        <v>0.69037694149979245</v>
      </c>
    </row>
    <row r="12" spans="1:8" x14ac:dyDescent="0.35">
      <c r="A12">
        <v>3</v>
      </c>
      <c r="B12">
        <f t="shared" si="4"/>
        <v>1.5</v>
      </c>
      <c r="C12">
        <f t="shared" si="5"/>
        <v>6.3254753023414354</v>
      </c>
      <c r="D12">
        <f t="shared" si="0"/>
        <v>4.45046706452767</v>
      </c>
      <c r="E12">
        <f t="shared" si="1"/>
        <v>8.5507088346052704</v>
      </c>
      <c r="F12">
        <f t="shared" si="2"/>
        <v>3.8062096353458017</v>
      </c>
      <c r="G12">
        <f t="shared" si="3"/>
        <v>8.3896444773098029</v>
      </c>
      <c r="H12">
        <f>G12 - Euler_vB!E12</f>
        <v>0.47300241680849098</v>
      </c>
    </row>
    <row r="13" spans="1:8" x14ac:dyDescent="0.35">
      <c r="A13">
        <v>4</v>
      </c>
      <c r="B13">
        <f t="shared" si="4"/>
        <v>2</v>
      </c>
      <c r="C13">
        <f t="shared" si="5"/>
        <v>8.3896444773098029</v>
      </c>
      <c r="D13">
        <f t="shared" si="0"/>
        <v>3.8649578558813253</v>
      </c>
      <c r="E13">
        <f t="shared" si="1"/>
        <v>10.322123405250466</v>
      </c>
      <c r="F13">
        <f t="shared" si="2"/>
        <v>3.0594473854638409</v>
      </c>
      <c r="G13">
        <f t="shared" si="3"/>
        <v>10.120745787646094</v>
      </c>
      <c r="H13">
        <f>G13 - Euler_vB!E13</f>
        <v>0.19033193378611202</v>
      </c>
    </row>
    <row r="14" spans="1:8" x14ac:dyDescent="0.35">
      <c r="A14">
        <v>5</v>
      </c>
      <c r="B14">
        <f t="shared" si="4"/>
        <v>2.5</v>
      </c>
      <c r="C14">
        <f t="shared" si="5"/>
        <v>10.120745787646094</v>
      </c>
      <c r="D14">
        <f t="shared" si="0"/>
        <v>3.1528960724856958</v>
      </c>
      <c r="E14">
        <f t="shared" si="1"/>
        <v>11.697193823888941</v>
      </c>
      <c r="F14">
        <f t="shared" si="2"/>
        <v>2.3702750889533064</v>
      </c>
      <c r="G14">
        <f t="shared" si="3"/>
        <v>11.501538578005844</v>
      </c>
      <c r="H14">
        <f>G14 - Euler_vB!E14</f>
        <v>-4.853916664577973E-2</v>
      </c>
    </row>
    <row r="15" spans="1:8" x14ac:dyDescent="0.35">
      <c r="A15">
        <v>6</v>
      </c>
      <c r="B15">
        <f t="shared" si="4"/>
        <v>3</v>
      </c>
      <c r="C15">
        <f t="shared" si="5"/>
        <v>11.501538578005844</v>
      </c>
      <c r="D15">
        <f t="shared" si="0"/>
        <v>2.4734737378645697</v>
      </c>
      <c r="E15">
        <f t="shared" si="1"/>
        <v>12.738275446938129</v>
      </c>
      <c r="F15">
        <f t="shared" si="2"/>
        <v>1.7950371592493646</v>
      </c>
      <c r="G15">
        <f t="shared" si="3"/>
        <v>12.568666302284328</v>
      </c>
      <c r="H15">
        <f>G15 - Euler_vB!E15</f>
        <v>-0.20542297283921584</v>
      </c>
    </row>
    <row r="16" spans="1:8" x14ac:dyDescent="0.35">
      <c r="A16">
        <v>7</v>
      </c>
      <c r="B16">
        <f t="shared" si="4"/>
        <v>3.5</v>
      </c>
      <c r="C16">
        <f t="shared" si="5"/>
        <v>12.568666302284328</v>
      </c>
      <c r="D16">
        <f t="shared" si="0"/>
        <v>1.8916356537778753</v>
      </c>
      <c r="E16">
        <f t="shared" si="1"/>
        <v>13.514484129173265</v>
      </c>
      <c r="F16">
        <f t="shared" si="2"/>
        <v>1.3395282505040811</v>
      </c>
      <c r="G16">
        <f t="shared" si="3"/>
        <v>13.376457278354817</v>
      </c>
      <c r="H16">
        <f>G16 - Euler_vB!E16</f>
        <v>-0.28488292925460534</v>
      </c>
    </row>
    <row r="17" spans="1:8" x14ac:dyDescent="0.35">
      <c r="A17">
        <v>8</v>
      </c>
      <c r="B17">
        <f t="shared" si="4"/>
        <v>4</v>
      </c>
      <c r="C17">
        <f t="shared" si="5"/>
        <v>13.376457278354817</v>
      </c>
      <c r="D17">
        <f t="shared" si="0"/>
        <v>1.4220952294137525</v>
      </c>
      <c r="E17">
        <f t="shared" si="1"/>
        <v>14.087504893061693</v>
      </c>
      <c r="F17">
        <f t="shared" si="2"/>
        <v>0.98981629459815323</v>
      </c>
      <c r="G17">
        <f t="shared" si="3"/>
        <v>13.979435159357793</v>
      </c>
      <c r="H17">
        <f>G17 - Euler_vB!E17</f>
        <v>-0.30738396501015508</v>
      </c>
    </row>
    <row r="18" spans="1:8" x14ac:dyDescent="0.35">
      <c r="A18">
        <v>9</v>
      </c>
      <c r="B18">
        <f t="shared" si="4"/>
        <v>4.5</v>
      </c>
      <c r="C18">
        <f t="shared" si="5"/>
        <v>13.979435159357793</v>
      </c>
      <c r="D18">
        <f t="shared" si="0"/>
        <v>1.0566092973431687</v>
      </c>
      <c r="E18">
        <f t="shared" si="1"/>
        <v>14.507739808029378</v>
      </c>
      <c r="F18">
        <f t="shared" si="2"/>
        <v>0.72649804041568444</v>
      </c>
      <c r="G18">
        <f t="shared" si="3"/>
        <v>14.425211993797507</v>
      </c>
      <c r="H18">
        <f>G18 - Euler_vB!E18</f>
        <v>-0.29442295971604615</v>
      </c>
    </row>
    <row r="19" spans="1:8" x14ac:dyDescent="0.35">
      <c r="A19">
        <v>10</v>
      </c>
      <c r="B19">
        <f t="shared" si="4"/>
        <v>5</v>
      </c>
      <c r="C19">
        <f t="shared" si="5"/>
        <v>14.425211993797507</v>
      </c>
      <c r="D19">
        <f t="shared" si="0"/>
        <v>0.77865423420850632</v>
      </c>
      <c r="E19">
        <f t="shared" si="1"/>
        <v>14.814539110901761</v>
      </c>
      <c r="F19">
        <f t="shared" si="2"/>
        <v>0.53074332919998923</v>
      </c>
      <c r="G19">
        <f t="shared" si="3"/>
        <v>14.752561384649631</v>
      </c>
      <c r="H19">
        <f>G19 - Euler_vB!E19</f>
        <v>-0.2628776533400945</v>
      </c>
    </row>
    <row r="20" spans="1:8" x14ac:dyDescent="0.35">
      <c r="A20">
        <v>11</v>
      </c>
      <c r="B20">
        <f t="shared" si="4"/>
        <v>5.5</v>
      </c>
      <c r="C20">
        <f t="shared" si="5"/>
        <v>14.752561384649631</v>
      </c>
      <c r="D20">
        <f t="shared" si="0"/>
        <v>0.57052278279685709</v>
      </c>
      <c r="E20">
        <f t="shared" si="1"/>
        <v>15.03782277604806</v>
      </c>
      <c r="F20">
        <f t="shared" si="2"/>
        <v>0.38646424681635239</v>
      </c>
      <c r="G20">
        <f t="shared" si="3"/>
        <v>14.991808142052934</v>
      </c>
      <c r="H20">
        <f>G20 - Euler_vB!E20</f>
        <v>-0.22412876314702324</v>
      </c>
    </row>
    <row r="21" spans="1:8" x14ac:dyDescent="0.35">
      <c r="A21">
        <v>12</v>
      </c>
      <c r="B21">
        <f t="shared" si="4"/>
        <v>6</v>
      </c>
      <c r="C21">
        <f t="shared" si="5"/>
        <v>14.991808142052934</v>
      </c>
      <c r="D21">
        <f t="shared" si="0"/>
        <v>0.41632056689103081</v>
      </c>
      <c r="E21">
        <f t="shared" si="1"/>
        <v>15.199968425498449</v>
      </c>
      <c r="F21">
        <f t="shared" si="2"/>
        <v>0.28075354845933376</v>
      </c>
      <c r="G21">
        <f t="shared" si="3"/>
        <v>15.166076670890526</v>
      </c>
      <c r="H21">
        <f>G21 - Euler_vB!E21</f>
        <v>-0.18501061780691508</v>
      </c>
    </row>
    <row r="22" spans="1:8" x14ac:dyDescent="0.35">
      <c r="A22">
        <v>13</v>
      </c>
      <c r="B22">
        <f t="shared" si="4"/>
        <v>6.5</v>
      </c>
      <c r="C22">
        <f t="shared" si="5"/>
        <v>15.166076670890526</v>
      </c>
      <c r="D22">
        <f t="shared" si="0"/>
        <v>0.30291375091239559</v>
      </c>
      <c r="E22">
        <f t="shared" si="1"/>
        <v>15.317533546346723</v>
      </c>
      <c r="F22">
        <f t="shared" si="2"/>
        <v>0.20362123373244856</v>
      </c>
      <c r="G22">
        <f t="shared" si="3"/>
        <v>15.292710417051737</v>
      </c>
      <c r="H22">
        <f>G22 - Euler_vB!E22</f>
        <v>-0.14914337513860154</v>
      </c>
    </row>
    <row r="23" spans="1:8" x14ac:dyDescent="0.35">
      <c r="A23">
        <v>14</v>
      </c>
      <c r="B23">
        <f t="shared" si="4"/>
        <v>7</v>
      </c>
      <c r="C23">
        <f t="shared" si="5"/>
        <v>15.292710417051737</v>
      </c>
      <c r="D23">
        <f t="shared" si="0"/>
        <v>0.21994099296688319</v>
      </c>
      <c r="E23">
        <f t="shared" si="1"/>
        <v>15.402680913535178</v>
      </c>
      <c r="F23">
        <f t="shared" si="2"/>
        <v>0.14750529744897634</v>
      </c>
      <c r="G23">
        <f t="shared" si="3"/>
        <v>15.384571989655701</v>
      </c>
      <c r="H23">
        <f>G23 - Euler_vB!E23</f>
        <v>-0.11809076263339691</v>
      </c>
    </row>
    <row r="24" spans="1:8" x14ac:dyDescent="0.35">
      <c r="A24">
        <v>15</v>
      </c>
      <c r="B24">
        <f t="shared" si="4"/>
        <v>7.5</v>
      </c>
      <c r="C24">
        <f t="shared" si="5"/>
        <v>15.384571989655701</v>
      </c>
      <c r="D24">
        <f t="shared" si="0"/>
        <v>0.15945754237147725</v>
      </c>
      <c r="E24">
        <f t="shared" si="1"/>
        <v>15.464300760841439</v>
      </c>
      <c r="F24">
        <f t="shared" si="2"/>
        <v>0.10676385897768625</v>
      </c>
      <c r="G24">
        <f t="shared" si="3"/>
        <v>15.451127339992992</v>
      </c>
      <c r="H24">
        <f>G24 - Euler_vB!E24</f>
        <v>-9.2207695068347917E-2</v>
      </c>
    </row>
    <row r="25" spans="1:8" x14ac:dyDescent="0.35">
      <c r="A25">
        <v>16</v>
      </c>
      <c r="B25">
        <f t="shared" si="4"/>
        <v>8</v>
      </c>
      <c r="C25">
        <f t="shared" si="5"/>
        <v>15.451127339992992</v>
      </c>
      <c r="D25">
        <f t="shared" si="0"/>
        <v>0.11548300431432423</v>
      </c>
      <c r="E25">
        <f t="shared" si="1"/>
        <v>15.508868842150154</v>
      </c>
      <c r="F25">
        <f t="shared" si="2"/>
        <v>7.7228328315548822E-2</v>
      </c>
      <c r="G25">
        <f t="shared" si="3"/>
        <v>15.499305173150461</v>
      </c>
      <c r="H25">
        <f>G25 - Euler_vB!E25</f>
        <v>-7.1203981204746469E-2</v>
      </c>
    </row>
    <row r="26" spans="1:8" x14ac:dyDescent="0.35">
      <c r="A26">
        <v>17</v>
      </c>
      <c r="B26">
        <f t="shared" si="4"/>
        <v>8.5</v>
      </c>
      <c r="C26">
        <f t="shared" si="5"/>
        <v>15.499305173150461</v>
      </c>
      <c r="D26">
        <f t="shared" si="0"/>
        <v>8.3571044486014046E-2</v>
      </c>
      <c r="E26">
        <f t="shared" si="1"/>
        <v>15.541090695393468</v>
      </c>
      <c r="F26">
        <f t="shared" si="2"/>
        <v>5.5839161238949941E-2</v>
      </c>
      <c r="G26">
        <f t="shared" si="3"/>
        <v>15.534157724581702</v>
      </c>
      <c r="H26">
        <f>G26 - Euler_vB!E26</f>
        <v>-5.4493897512019274E-2</v>
      </c>
    </row>
    <row r="27" spans="1:8" x14ac:dyDescent="0.35">
      <c r="A27">
        <v>18</v>
      </c>
      <c r="B27">
        <f t="shared" si="4"/>
        <v>9</v>
      </c>
      <c r="C27">
        <f t="shared" si="5"/>
        <v>15.534157724581702</v>
      </c>
      <c r="D27">
        <f t="shared" si="0"/>
        <v>6.0443846328656292E-2</v>
      </c>
      <c r="E27">
        <f t="shared" si="1"/>
        <v>15.56437964774603</v>
      </c>
      <c r="F27">
        <f t="shared" si="2"/>
        <v>4.0361213637272186E-2</v>
      </c>
      <c r="G27">
        <f t="shared" si="3"/>
        <v>15.559358989573184</v>
      </c>
      <c r="H27">
        <f>G27 - Euler_vB!E27</f>
        <v>-4.1399353529731897E-2</v>
      </c>
    </row>
    <row r="28" spans="1:8" x14ac:dyDescent="0.35">
      <c r="A28">
        <v>19</v>
      </c>
      <c r="B28">
        <f t="shared" si="4"/>
        <v>9.5</v>
      </c>
      <c r="C28">
        <f t="shared" si="5"/>
        <v>15.559358989573184</v>
      </c>
      <c r="D28">
        <f t="shared" si="0"/>
        <v>4.3699279029883797E-2</v>
      </c>
      <c r="E28">
        <f t="shared" si="1"/>
        <v>15.581208629088126</v>
      </c>
      <c r="F28">
        <f t="shared" si="2"/>
        <v>2.9166939515828716E-2</v>
      </c>
      <c r="G28">
        <f t="shared" si="3"/>
        <v>15.577575544209612</v>
      </c>
      <c r="H28">
        <f>G28 - Euler_vB!E28</f>
        <v>-3.1259169407372056E-2</v>
      </c>
    </row>
    <row r="29" spans="1:8" x14ac:dyDescent="0.35">
      <c r="A29">
        <v>20</v>
      </c>
      <c r="B29">
        <f t="shared" si="4"/>
        <v>10</v>
      </c>
      <c r="C29">
        <f t="shared" si="5"/>
        <v>15.577575544209612</v>
      </c>
      <c r="D29">
        <f t="shared" si="0"/>
        <v>3.1584273733148649E-2</v>
      </c>
      <c r="E29">
        <f t="shared" si="1"/>
        <v>15.593367681076186</v>
      </c>
      <c r="F29">
        <f t="shared" si="2"/>
        <v>2.10739689896009E-2</v>
      </c>
      <c r="G29">
        <f t="shared" si="3"/>
        <v>15.590740104890299</v>
      </c>
      <c r="H29">
        <f>G29 - Euler_vB!E29</f>
        <v>-2.3481178415506676E-2</v>
      </c>
    </row>
    <row r="30" spans="1:8" x14ac:dyDescent="0.35">
      <c r="A30">
        <v>21</v>
      </c>
      <c r="B30">
        <f t="shared" si="4"/>
        <v>10.5</v>
      </c>
      <c r="C30">
        <f t="shared" si="5"/>
        <v>15.590740104890299</v>
      </c>
      <c r="D30">
        <f t="shared" si="0"/>
        <v>2.2823220587731896E-2</v>
      </c>
      <c r="E30">
        <f t="shared" si="1"/>
        <v>15.602151715184165</v>
      </c>
      <c r="F30">
        <f t="shared" si="2"/>
        <v>1.5224760420309735E-2</v>
      </c>
      <c r="G30">
        <f t="shared" si="3"/>
        <v>15.60025210014231</v>
      </c>
      <c r="H30">
        <f>G30 - Euler_vB!E30</f>
        <v>-1.7561262300716862E-2</v>
      </c>
    </row>
    <row r="31" spans="1:8" x14ac:dyDescent="0.35">
      <c r="A31">
        <v>22</v>
      </c>
      <c r="B31">
        <f t="shared" si="4"/>
        <v>11</v>
      </c>
      <c r="C31">
        <f t="shared" si="5"/>
        <v>15.60025210014231</v>
      </c>
      <c r="D31">
        <f t="shared" si="0"/>
        <v>1.6489883246208592E-2</v>
      </c>
      <c r="E31">
        <f t="shared" si="1"/>
        <v>15.608497041765414</v>
      </c>
      <c r="F31">
        <f t="shared" si="2"/>
        <v>1.099809694851217E-2</v>
      </c>
      <c r="G31">
        <f t="shared" si="3"/>
        <v>15.60712409519099</v>
      </c>
      <c r="H31">
        <f>G31 - Euler_vB!E31</f>
        <v>-1.308444575630574E-2</v>
      </c>
    </row>
    <row r="32" spans="1:8" x14ac:dyDescent="0.35">
      <c r="A32">
        <v>23</v>
      </c>
      <c r="B32">
        <f t="shared" si="4"/>
        <v>11.5</v>
      </c>
      <c r="C32">
        <f t="shared" si="5"/>
        <v>15.60712409519099</v>
      </c>
      <c r="D32">
        <f t="shared" si="0"/>
        <v>1.1912722878005155E-2</v>
      </c>
      <c r="E32">
        <f t="shared" si="1"/>
        <v>15.613080456629993</v>
      </c>
      <c r="F32">
        <f t="shared" si="2"/>
        <v>7.9443409317541125E-3</v>
      </c>
      <c r="G32">
        <f t="shared" si="3"/>
        <v>15.61208836114343</v>
      </c>
      <c r="H32">
        <f>G32 - Euler_vB!E32</f>
        <v>-9.7171695417230808E-3</v>
      </c>
    </row>
    <row r="33" spans="1:8" x14ac:dyDescent="0.35">
      <c r="A33">
        <v>24</v>
      </c>
      <c r="B33">
        <f t="shared" si="4"/>
        <v>12</v>
      </c>
      <c r="C33">
        <f t="shared" si="5"/>
        <v>15.61208836114343</v>
      </c>
      <c r="D33">
        <f t="shared" si="0"/>
        <v>8.6053873739011522E-3</v>
      </c>
      <c r="E33">
        <f t="shared" si="1"/>
        <v>15.61639105483038</v>
      </c>
      <c r="F33">
        <f t="shared" si="2"/>
        <v>5.7382424566654322E-3</v>
      </c>
      <c r="G33">
        <f t="shared" si="3"/>
        <v>15.615674268601072</v>
      </c>
      <c r="H33">
        <f>G33 - Euler_vB!E33</f>
        <v>-7.1960126161485505E-3</v>
      </c>
    </row>
    <row r="34" spans="1:8" x14ac:dyDescent="0.35">
      <c r="A34">
        <v>25</v>
      </c>
      <c r="B34">
        <f t="shared" si="4"/>
        <v>12.5</v>
      </c>
      <c r="C34">
        <f t="shared" si="5"/>
        <v>15.615674268601072</v>
      </c>
      <c r="D34">
        <f t="shared" si="0"/>
        <v>6.2159170414943787E-3</v>
      </c>
      <c r="E34">
        <f t="shared" si="1"/>
        <v>15.61878222712182</v>
      </c>
      <c r="F34">
        <f t="shared" si="2"/>
        <v>4.1446319804521181E-3</v>
      </c>
      <c r="G34">
        <f t="shared" si="3"/>
        <v>15.618264405856559</v>
      </c>
      <c r="H34">
        <f>G34 - Euler_vB!E34</f>
        <v>-5.3157493657511878E-3</v>
      </c>
    </row>
    <row r="35" spans="1:8" x14ac:dyDescent="0.35">
      <c r="A35">
        <v>26</v>
      </c>
      <c r="B35">
        <f t="shared" si="4"/>
        <v>13</v>
      </c>
      <c r="C35">
        <f t="shared" si="5"/>
        <v>15.618264405856559</v>
      </c>
      <c r="D35">
        <f t="shared" si="0"/>
        <v>4.4897507349475063E-3</v>
      </c>
      <c r="E35">
        <f t="shared" si="1"/>
        <v>15.620509281224033</v>
      </c>
      <c r="F35">
        <f t="shared" si="2"/>
        <v>2.9935256674455957E-3</v>
      </c>
      <c r="G35">
        <f t="shared" si="3"/>
        <v>15.620135224957156</v>
      </c>
      <c r="H35">
        <f>G35 - Euler_vB!E35</f>
        <v>-3.918197521425526E-3</v>
      </c>
    </row>
    <row r="36" spans="1:8" x14ac:dyDescent="0.35">
      <c r="A36">
        <v>27</v>
      </c>
      <c r="B36">
        <f t="shared" si="4"/>
        <v>13.5</v>
      </c>
      <c r="C36">
        <f t="shared" si="5"/>
        <v>15.620135224957156</v>
      </c>
      <c r="D36">
        <f t="shared" si="0"/>
        <v>3.2428467316805154E-3</v>
      </c>
      <c r="E36">
        <f t="shared" si="1"/>
        <v>15.621756648322997</v>
      </c>
      <c r="F36">
        <f t="shared" si="2"/>
        <v>2.1620848292727146E-3</v>
      </c>
      <c r="G36">
        <f t="shared" si="3"/>
        <v>15.621486457847395</v>
      </c>
      <c r="H36">
        <f>G36 - Euler_vB!E36</f>
        <v>-2.8824840998673551E-3</v>
      </c>
    </row>
    <row r="37" spans="1:8" x14ac:dyDescent="0.35">
      <c r="A37">
        <v>28</v>
      </c>
      <c r="B37">
        <f t="shared" si="4"/>
        <v>14</v>
      </c>
      <c r="C37">
        <f t="shared" si="5"/>
        <v>15.621486457847395</v>
      </c>
      <c r="D37">
        <f t="shared" si="0"/>
        <v>2.3421858444940824E-3</v>
      </c>
      <c r="E37">
        <f t="shared" si="1"/>
        <v>15.622657550769642</v>
      </c>
      <c r="F37">
        <f t="shared" si="2"/>
        <v>1.5615547767353632E-3</v>
      </c>
      <c r="G37">
        <f t="shared" si="3"/>
        <v>15.622462393002703</v>
      </c>
      <c r="H37">
        <f>G37 - Euler_vB!E37</f>
        <v>-2.1168987968671615E-3</v>
      </c>
    </row>
    <row r="38" spans="1:8" x14ac:dyDescent="0.35">
      <c r="A38">
        <v>29</v>
      </c>
      <c r="B38">
        <f t="shared" si="4"/>
        <v>14.5</v>
      </c>
      <c r="C38">
        <f t="shared" si="5"/>
        <v>15.622462393002703</v>
      </c>
      <c r="D38">
        <f t="shared" si="0"/>
        <v>1.6916464083074345E-3</v>
      </c>
      <c r="E38">
        <f t="shared" si="1"/>
        <v>15.623308216206857</v>
      </c>
      <c r="F38">
        <f t="shared" si="2"/>
        <v>1.1278151542519765E-3</v>
      </c>
      <c r="G38">
        <f t="shared" si="3"/>
        <v>15.623167258393343</v>
      </c>
      <c r="H38">
        <f>G38 - Euler_vB!E38</f>
        <v>-1.5522682143878086E-3</v>
      </c>
    </row>
    <row r="39" spans="1:8" x14ac:dyDescent="0.35">
      <c r="A39">
        <v>30</v>
      </c>
      <c r="B39">
        <f t="shared" si="4"/>
        <v>15</v>
      </c>
      <c r="C39">
        <f t="shared" si="5"/>
        <v>15.623167258393343</v>
      </c>
      <c r="D39">
        <f t="shared" si="0"/>
        <v>1.2217799636715654E-3</v>
      </c>
      <c r="E39">
        <f t="shared" si="1"/>
        <v>15.623778148375179</v>
      </c>
      <c r="F39">
        <f t="shared" si="2"/>
        <v>8.1454651648016352E-4</v>
      </c>
      <c r="G39">
        <f t="shared" si="3"/>
        <v>15.623676340013381</v>
      </c>
      <c r="H39">
        <f>G39 - Euler_vB!E39</f>
        <v>-1.1366771657019825E-3</v>
      </c>
    </row>
    <row r="40" spans="1:8" x14ac:dyDescent="0.35">
      <c r="A40">
        <v>31</v>
      </c>
      <c r="B40">
        <f t="shared" si="4"/>
        <v>15.5</v>
      </c>
      <c r="C40">
        <f t="shared" si="5"/>
        <v>15.623676340013381</v>
      </c>
      <c r="D40">
        <f t="shared" si="0"/>
        <v>8.8241507172526212E-4</v>
      </c>
      <c r="E40">
        <f t="shared" si="1"/>
        <v>15.624117547549243</v>
      </c>
      <c r="F40">
        <f t="shared" si="2"/>
        <v>5.8829055839737521E-4</v>
      </c>
      <c r="G40">
        <f t="shared" si="3"/>
        <v>15.62404401642091</v>
      </c>
      <c r="H40">
        <f>G40 - Euler_vB!E40</f>
        <v>-8.3132811652220084E-4</v>
      </c>
    </row>
    <row r="41" spans="1:8" x14ac:dyDescent="0.35">
      <c r="A41">
        <v>32</v>
      </c>
      <c r="B41">
        <f t="shared" si="4"/>
        <v>16</v>
      </c>
      <c r="C41">
        <f t="shared" si="5"/>
        <v>15.62404401642091</v>
      </c>
      <c r="D41">
        <f t="shared" ref="D41:D72" si="6">$B$2 * POWER(C41,2/3) - $B$3 * C41</f>
        <v>6.3730938795103498E-4</v>
      </c>
      <c r="E41">
        <f t="shared" ref="E41:E72" si="7">C41 + $B$4 * D41</f>
        <v>15.624362671114886</v>
      </c>
      <c r="F41">
        <f t="shared" ref="F41:F72" si="8">$B$2 * POWER(E41,2/3) - $B$3 * E41</f>
        <v>4.2488014640085225E-4</v>
      </c>
      <c r="G41">
        <f t="shared" ref="G41:G72" si="9">C41 + ($B$4/2) * (D41 + F41)</f>
        <v>15.624309563804498</v>
      </c>
      <c r="H41">
        <f>G41 - Euler_vB!E41</f>
        <v>-6.07332443291142E-4</v>
      </c>
    </row>
    <row r="42" spans="1:8" x14ac:dyDescent="0.35">
      <c r="A42">
        <v>33</v>
      </c>
      <c r="B42">
        <f t="shared" ref="B42:B69" si="10">B41 + $B$4</f>
        <v>16.5</v>
      </c>
      <c r="C42">
        <f t="shared" ref="C42:C69" si="11">G41</f>
        <v>15.624309563804498</v>
      </c>
      <c r="D42">
        <f t="shared" si="6"/>
        <v>4.6028401709818922E-4</v>
      </c>
      <c r="E42">
        <f t="shared" si="7"/>
        <v>15.624539705813048</v>
      </c>
      <c r="F42">
        <f t="shared" si="8"/>
        <v>3.0685977798228237E-4</v>
      </c>
      <c r="G42">
        <f t="shared" si="9"/>
        <v>15.624501349753269</v>
      </c>
      <c r="H42">
        <f>G42 - Euler_vB!E42</f>
        <v>-4.4324769614689785E-4</v>
      </c>
    </row>
    <row r="43" spans="1:8" x14ac:dyDescent="0.35">
      <c r="A43">
        <v>34</v>
      </c>
      <c r="B43">
        <f t="shared" si="10"/>
        <v>17</v>
      </c>
      <c r="C43">
        <f t="shared" si="11"/>
        <v>15.624501349753269</v>
      </c>
      <c r="D43">
        <f t="shared" si="6"/>
        <v>3.3242996138582726E-4</v>
      </c>
      <c r="E43">
        <f t="shared" si="7"/>
        <v>15.624667564733961</v>
      </c>
      <c r="F43">
        <f t="shared" si="8"/>
        <v>2.2162193892683035E-4</v>
      </c>
      <c r="G43">
        <f t="shared" si="9"/>
        <v>15.624639862728348</v>
      </c>
      <c r="H43">
        <f>G43 - Euler_vB!E43</f>
        <v>-3.2320221610149247E-4</v>
      </c>
    </row>
    <row r="44" spans="1:8" x14ac:dyDescent="0.35">
      <c r="A44">
        <v>35</v>
      </c>
      <c r="B44">
        <f t="shared" si="10"/>
        <v>17.5</v>
      </c>
      <c r="C44">
        <f t="shared" si="11"/>
        <v>15.624639862728348</v>
      </c>
      <c r="D44">
        <f t="shared" si="6"/>
        <v>2.4008966980915147E-4</v>
      </c>
      <c r="E44">
        <f t="shared" si="7"/>
        <v>15.624759907563252</v>
      </c>
      <c r="F44">
        <f t="shared" si="8"/>
        <v>1.6006080466013373E-4</v>
      </c>
      <c r="G44">
        <f t="shared" si="9"/>
        <v>15.624739900346965</v>
      </c>
      <c r="H44">
        <f>G44 - Euler_vB!E44</f>
        <v>-2.3547627296771623E-4</v>
      </c>
    </row>
    <row r="45" spans="1:8" x14ac:dyDescent="0.35">
      <c r="A45">
        <v>36</v>
      </c>
      <c r="B45">
        <f t="shared" si="10"/>
        <v>18</v>
      </c>
      <c r="C45">
        <f t="shared" si="11"/>
        <v>15.624739900346965</v>
      </c>
      <c r="D45">
        <f t="shared" si="6"/>
        <v>1.7339880652755824E-4</v>
      </c>
      <c r="E45">
        <f t="shared" si="7"/>
        <v>15.624826599750229</v>
      </c>
      <c r="F45">
        <f t="shared" si="8"/>
        <v>1.155997388835317E-4</v>
      </c>
      <c r="G45">
        <f t="shared" si="9"/>
        <v>15.624812149983317</v>
      </c>
      <c r="H45">
        <f>G45 - Euler_vB!E45</f>
        <v>-1.7143442565625833E-4</v>
      </c>
    </row>
    <row r="46" spans="1:8" x14ac:dyDescent="0.35">
      <c r="A46">
        <v>37</v>
      </c>
      <c r="B46">
        <f t="shared" si="10"/>
        <v>18.5</v>
      </c>
      <c r="C46">
        <f t="shared" si="11"/>
        <v>15.624812149983317</v>
      </c>
      <c r="D46">
        <f t="shared" si="6"/>
        <v>1.252328425849214E-4</v>
      </c>
      <c r="E46">
        <f t="shared" si="7"/>
        <v>15.624874766404609</v>
      </c>
      <c r="F46">
        <f t="shared" si="8"/>
        <v>8.3488840530776542E-5</v>
      </c>
      <c r="G46">
        <f t="shared" si="9"/>
        <v>15.624864330404096</v>
      </c>
      <c r="H46">
        <f>G46 - Euler_vB!E46</f>
        <v>-1.247258666374762E-4</v>
      </c>
    </row>
    <row r="47" spans="1:8" x14ac:dyDescent="0.35">
      <c r="A47">
        <v>38</v>
      </c>
      <c r="B47">
        <f t="shared" si="10"/>
        <v>19</v>
      </c>
      <c r="C47">
        <f t="shared" si="11"/>
        <v>15.624864330404096</v>
      </c>
      <c r="D47">
        <f t="shared" si="6"/>
        <v>9.0446135491362156E-5</v>
      </c>
      <c r="E47">
        <f t="shared" si="7"/>
        <v>15.624909553471841</v>
      </c>
      <c r="F47">
        <f t="shared" si="8"/>
        <v>6.029756908887407E-5</v>
      </c>
      <c r="G47">
        <f t="shared" si="9"/>
        <v>15.624902016330241</v>
      </c>
      <c r="H47">
        <f>G47 - Euler_vB!E47</f>
        <v>-9.0687849395365561E-5</v>
      </c>
    </row>
    <row r="48" spans="1:8" x14ac:dyDescent="0.35">
      <c r="A48">
        <v>39</v>
      </c>
      <c r="B48">
        <f t="shared" si="10"/>
        <v>19.5</v>
      </c>
      <c r="C48">
        <f t="shared" si="11"/>
        <v>15.624902016330241</v>
      </c>
      <c r="D48">
        <f t="shared" si="6"/>
        <v>6.532230996114663E-5</v>
      </c>
      <c r="E48">
        <f t="shared" si="7"/>
        <v>15.624934677485221</v>
      </c>
      <c r="F48">
        <f t="shared" si="8"/>
        <v>4.3548282501859603E-5</v>
      </c>
      <c r="G48">
        <f t="shared" si="9"/>
        <v>15.624929233978357</v>
      </c>
      <c r="H48">
        <f>G48 - Euler_vB!E48</f>
        <v>-6.5902141020757199E-5</v>
      </c>
    </row>
    <row r="49" spans="1:8" x14ac:dyDescent="0.35">
      <c r="A49">
        <v>40</v>
      </c>
      <c r="B49">
        <f t="shared" si="10"/>
        <v>20</v>
      </c>
      <c r="C49">
        <f t="shared" si="11"/>
        <v>15.624929233978357</v>
      </c>
      <c r="D49">
        <f t="shared" si="6"/>
        <v>4.7177276545795621E-5</v>
      </c>
      <c r="E49">
        <f t="shared" si="7"/>
        <v>15.624952822616629</v>
      </c>
      <c r="F49">
        <f t="shared" si="8"/>
        <v>3.1451557255479656E-5</v>
      </c>
      <c r="G49">
        <f t="shared" si="9"/>
        <v>15.624948891186808</v>
      </c>
      <c r="H49">
        <f>G49 - Euler_vB!E49</f>
        <v>-4.7866225942883034E-5</v>
      </c>
    </row>
    <row r="50" spans="1:8" x14ac:dyDescent="0.35">
      <c r="A50">
        <v>41</v>
      </c>
      <c r="B50">
        <f t="shared" si="10"/>
        <v>20.5</v>
      </c>
      <c r="C50">
        <f t="shared" si="11"/>
        <v>15.624948891186808</v>
      </c>
      <c r="D50">
        <f t="shared" si="6"/>
        <v>3.4072504980997564E-5</v>
      </c>
      <c r="E50">
        <f t="shared" si="7"/>
        <v>15.624965927439298</v>
      </c>
      <c r="F50">
        <f t="shared" si="8"/>
        <v>2.2715023952457614E-5</v>
      </c>
      <c r="G50">
        <f t="shared" si="9"/>
        <v>15.624963088069041</v>
      </c>
      <c r="H50">
        <f>G50 - Euler_vB!E50</f>
        <v>-3.4750206051370469E-5</v>
      </c>
    </row>
    <row r="51" spans="1:8" x14ac:dyDescent="0.35">
      <c r="A51">
        <v>42</v>
      </c>
      <c r="B51">
        <f t="shared" si="10"/>
        <v>21</v>
      </c>
      <c r="C51">
        <f t="shared" si="11"/>
        <v>15.624963088069041</v>
      </c>
      <c r="D51">
        <f t="shared" si="6"/>
        <v>2.4607934598463999E-5</v>
      </c>
      <c r="E51">
        <f t="shared" si="7"/>
        <v>15.62497539203634</v>
      </c>
      <c r="F51">
        <f t="shared" si="8"/>
        <v>1.6405300492294828E-5</v>
      </c>
      <c r="G51">
        <f t="shared" si="9"/>
        <v>15.624973341377814</v>
      </c>
      <c r="H51">
        <f>G51 - Euler_vB!E51</f>
        <v>-2.5217472213512337E-5</v>
      </c>
    </row>
    <row r="52" spans="1:8" x14ac:dyDescent="0.35">
      <c r="A52">
        <v>43</v>
      </c>
      <c r="B52">
        <f t="shared" si="10"/>
        <v>21.5</v>
      </c>
      <c r="C52">
        <f t="shared" si="11"/>
        <v>15.624973341377814</v>
      </c>
      <c r="D52">
        <f t="shared" si="6"/>
        <v>1.7772404678595422E-5</v>
      </c>
      <c r="E52">
        <f t="shared" si="7"/>
        <v>15.624982227580153</v>
      </c>
      <c r="F52">
        <f t="shared" si="8"/>
        <v>1.1848275402570607E-5</v>
      </c>
      <c r="G52">
        <f t="shared" si="9"/>
        <v>15.624980746547834</v>
      </c>
      <c r="H52">
        <f>G52 - Euler_vB!E52</f>
        <v>-1.8292685501464234E-5</v>
      </c>
    </row>
    <row r="53" spans="1:8" x14ac:dyDescent="0.35">
      <c r="A53">
        <v>44</v>
      </c>
      <c r="B53">
        <f t="shared" si="10"/>
        <v>22</v>
      </c>
      <c r="C53">
        <f t="shared" si="11"/>
        <v>15.624980746547834</v>
      </c>
      <c r="D53">
        <f t="shared" si="6"/>
        <v>1.2835629501495305E-5</v>
      </c>
      <c r="E53">
        <f t="shared" si="7"/>
        <v>15.624987164362585</v>
      </c>
      <c r="F53">
        <f t="shared" si="8"/>
        <v>8.5570892700559398E-6</v>
      </c>
      <c r="G53">
        <f t="shared" si="9"/>
        <v>15.624986094727527</v>
      </c>
      <c r="H53">
        <f>G53 - Euler_vB!E53</f>
        <v>-1.3264761358655619E-5</v>
      </c>
    </row>
    <row r="54" spans="1:8" x14ac:dyDescent="0.35">
      <c r="A54">
        <v>45</v>
      </c>
      <c r="B54">
        <f t="shared" si="10"/>
        <v>22.5</v>
      </c>
      <c r="C54">
        <f t="shared" si="11"/>
        <v>15.624986094727527</v>
      </c>
      <c r="D54">
        <f t="shared" si="6"/>
        <v>9.2701788894089532E-6</v>
      </c>
      <c r="E54">
        <f t="shared" si="7"/>
        <v>15.624990729816972</v>
      </c>
      <c r="F54">
        <f t="shared" si="8"/>
        <v>6.1801207991152296E-6</v>
      </c>
      <c r="G54">
        <f t="shared" si="9"/>
        <v>15.62498995730245</v>
      </c>
      <c r="H54">
        <f>G54 - Euler_vB!E54</f>
        <v>-9.6156901339128353E-6</v>
      </c>
    </row>
    <row r="55" spans="1:8" x14ac:dyDescent="0.35">
      <c r="A55">
        <v>46</v>
      </c>
      <c r="B55">
        <f t="shared" si="10"/>
        <v>23</v>
      </c>
      <c r="C55">
        <f t="shared" si="11"/>
        <v>15.62498995730245</v>
      </c>
      <c r="D55">
        <f t="shared" si="6"/>
        <v>6.6951302564177695E-6</v>
      </c>
      <c r="E55">
        <f t="shared" si="7"/>
        <v>15.624993304867578</v>
      </c>
      <c r="F55">
        <f t="shared" si="8"/>
        <v>4.463420975042709E-6</v>
      </c>
      <c r="G55">
        <f t="shared" si="9"/>
        <v>15.624992746940258</v>
      </c>
      <c r="H55">
        <f>G55 - Euler_vB!E55</f>
        <v>-6.9683881296356276E-6</v>
      </c>
    </row>
    <row r="56" spans="1:8" x14ac:dyDescent="0.35">
      <c r="A56">
        <v>47</v>
      </c>
      <c r="B56">
        <f t="shared" si="10"/>
        <v>23.5</v>
      </c>
      <c r="C56">
        <f t="shared" si="11"/>
        <v>15.624992746940258</v>
      </c>
      <c r="D56">
        <f t="shared" si="6"/>
        <v>4.835372404699001E-6</v>
      </c>
      <c r="E56">
        <f t="shared" si="7"/>
        <v>15.62499516462646</v>
      </c>
      <c r="F56">
        <f t="shared" si="8"/>
        <v>3.2235820306425467E-6</v>
      </c>
      <c r="G56">
        <f t="shared" si="9"/>
        <v>15.624994761678867</v>
      </c>
      <c r="H56">
        <f>G56 - Euler_vB!E56</f>
        <v>-5.0485400553412774E-6</v>
      </c>
    </row>
    <row r="57" spans="1:8" x14ac:dyDescent="0.35">
      <c r="A57">
        <v>48</v>
      </c>
      <c r="B57">
        <f t="shared" si="10"/>
        <v>24</v>
      </c>
      <c r="C57">
        <f t="shared" si="11"/>
        <v>15.624994761678867</v>
      </c>
      <c r="D57">
        <f t="shared" si="6"/>
        <v>3.4922136933346337E-6</v>
      </c>
      <c r="E57">
        <f t="shared" si="7"/>
        <v>15.624996507785713</v>
      </c>
      <c r="F57">
        <f t="shared" si="8"/>
        <v>2.328142684859813E-6</v>
      </c>
      <c r="G57">
        <f t="shared" si="9"/>
        <v>15.624996216767961</v>
      </c>
      <c r="H57">
        <f>G57 - Euler_vB!E57</f>
        <v>-3.6567113212981894E-6</v>
      </c>
    </row>
    <row r="58" spans="1:8" x14ac:dyDescent="0.35">
      <c r="A58">
        <v>49</v>
      </c>
      <c r="B58">
        <f t="shared" si="10"/>
        <v>24.5</v>
      </c>
      <c r="C58">
        <f t="shared" si="11"/>
        <v>15.624996216767961</v>
      </c>
      <c r="D58">
        <f t="shared" si="6"/>
        <v>2.5221544888154313E-6</v>
      </c>
      <c r="E58">
        <f t="shared" si="7"/>
        <v>15.624997477845206</v>
      </c>
      <c r="F58">
        <f t="shared" si="8"/>
        <v>1.6814364407480298E-6</v>
      </c>
      <c r="G58">
        <f t="shared" si="9"/>
        <v>15.624997267665695</v>
      </c>
      <c r="H58">
        <f>G58 - Euler_vB!E58</f>
        <v>-2.647987161097376E-6</v>
      </c>
    </row>
    <row r="59" spans="1:8" x14ac:dyDescent="0.35">
      <c r="A59">
        <v>50</v>
      </c>
      <c r="B59">
        <f t="shared" si="10"/>
        <v>25</v>
      </c>
      <c r="C59">
        <f t="shared" si="11"/>
        <v>15.624997267665695</v>
      </c>
      <c r="D59">
        <f t="shared" si="6"/>
        <v>1.8215560970702427E-6</v>
      </c>
      <c r="E59">
        <f t="shared" si="7"/>
        <v>15.624998178443743</v>
      </c>
      <c r="F59">
        <f t="shared" si="8"/>
        <v>1.2143707905920564E-6</v>
      </c>
      <c r="G59">
        <f t="shared" si="9"/>
        <v>15.624998026647416</v>
      </c>
      <c r="H59">
        <f>G59 - Euler_vB!E59</f>
        <v>-1.9171211533830501E-6</v>
      </c>
    </row>
    <row r="60" spans="1:8" x14ac:dyDescent="0.35">
      <c r="A60">
        <v>51</v>
      </c>
      <c r="B60">
        <f t="shared" si="10"/>
        <v>25.5</v>
      </c>
      <c r="C60">
        <f t="shared" si="11"/>
        <v>15.624998026647416</v>
      </c>
      <c r="D60">
        <f t="shared" si="6"/>
        <v>1.3155683333820889E-6</v>
      </c>
      <c r="E60">
        <f t="shared" si="7"/>
        <v>15.624998684431583</v>
      </c>
      <c r="F60">
        <f t="shared" si="8"/>
        <v>8.770455828255308E-7</v>
      </c>
      <c r="G60">
        <f t="shared" si="9"/>
        <v>15.624998574800895</v>
      </c>
      <c r="H60">
        <f>G60 - Euler_vB!E60</f>
        <v>-1.3877114852789418E-6</v>
      </c>
    </row>
    <row r="61" spans="1:8" x14ac:dyDescent="0.35">
      <c r="A61">
        <v>52</v>
      </c>
      <c r="B61">
        <f t="shared" si="10"/>
        <v>26</v>
      </c>
      <c r="C61">
        <f t="shared" si="11"/>
        <v>15.624998574800895</v>
      </c>
      <c r="D61">
        <f t="shared" si="6"/>
        <v>9.5013270140498207E-7</v>
      </c>
      <c r="E61">
        <f t="shared" si="7"/>
        <v>15.624999049867245</v>
      </c>
      <c r="F61">
        <f t="shared" si="8"/>
        <v>6.3342182698988836E-7</v>
      </c>
      <c r="G61">
        <f t="shared" si="9"/>
        <v>15.624998970689527</v>
      </c>
      <c r="H61">
        <f>G61 - Euler_vB!E61</f>
        <v>-1.0043187224084704E-6</v>
      </c>
    </row>
    <row r="62" spans="1:8" x14ac:dyDescent="0.35">
      <c r="A62">
        <v>53</v>
      </c>
      <c r="B62">
        <f t="shared" si="10"/>
        <v>26.5</v>
      </c>
      <c r="C62">
        <f t="shared" si="11"/>
        <v>15.624998970689527</v>
      </c>
      <c r="D62">
        <f t="shared" si="6"/>
        <v>6.8620696325183417E-7</v>
      </c>
      <c r="E62">
        <f t="shared" si="7"/>
        <v>15.624999313793008</v>
      </c>
      <c r="F62">
        <f t="shared" si="8"/>
        <v>4.5747132304541083E-7</v>
      </c>
      <c r="G62">
        <f t="shared" si="9"/>
        <v>15.624999256609097</v>
      </c>
      <c r="H62">
        <f>G62 - Euler_vB!E62</f>
        <v>-7.2672973416842979E-7</v>
      </c>
    </row>
    <row r="63" spans="1:8" x14ac:dyDescent="0.35">
      <c r="A63">
        <v>54</v>
      </c>
      <c r="B63">
        <f t="shared" si="10"/>
        <v>27</v>
      </c>
      <c r="C63">
        <f t="shared" si="11"/>
        <v>15.624999256609097</v>
      </c>
      <c r="D63">
        <f t="shared" si="6"/>
        <v>4.9559392323317297E-7</v>
      </c>
      <c r="E63">
        <f t="shared" si="7"/>
        <v>15.624999504406059</v>
      </c>
      <c r="F63">
        <f t="shared" si="8"/>
        <v>3.3039595948025635E-7</v>
      </c>
      <c r="G63">
        <f t="shared" si="9"/>
        <v>15.624999463106569</v>
      </c>
      <c r="H63">
        <f>G63 - Euler_vB!E63</f>
        <v>-5.2578598541686006E-7</v>
      </c>
    </row>
    <row r="64" spans="1:8" x14ac:dyDescent="0.35">
      <c r="A64">
        <v>55</v>
      </c>
      <c r="B64">
        <f t="shared" si="10"/>
        <v>27.5</v>
      </c>
      <c r="C64">
        <f t="shared" si="11"/>
        <v>15.624999463106569</v>
      </c>
      <c r="D64">
        <f t="shared" si="6"/>
        <v>3.5792895047848106E-7</v>
      </c>
      <c r="E64">
        <f t="shared" si="7"/>
        <v>15.624999642071044</v>
      </c>
      <c r="F64">
        <f t="shared" si="8"/>
        <v>2.3861929321356001E-7</v>
      </c>
      <c r="G64">
        <f t="shared" si="9"/>
        <v>15.624999612243631</v>
      </c>
      <c r="H64">
        <f>G64 - Euler_vB!E64</f>
        <v>-3.8035140548231539E-7</v>
      </c>
    </row>
    <row r="65" spans="1:8" x14ac:dyDescent="0.35">
      <c r="A65">
        <v>56</v>
      </c>
      <c r="B65">
        <f t="shared" si="10"/>
        <v>28</v>
      </c>
      <c r="C65">
        <f t="shared" si="11"/>
        <v>15.624999612243631</v>
      </c>
      <c r="D65">
        <f t="shared" si="6"/>
        <v>2.5850424023587948E-7</v>
      </c>
      <c r="E65">
        <f t="shared" si="7"/>
        <v>15.624999741495751</v>
      </c>
      <c r="F65">
        <f t="shared" si="8"/>
        <v>1.7233616134149088E-7</v>
      </c>
      <c r="G65">
        <f t="shared" si="9"/>
        <v>15.624999719953731</v>
      </c>
      <c r="H65">
        <f>G65 - Euler_vB!E65</f>
        <v>-2.7510962397059302E-7</v>
      </c>
    </row>
    <row r="66" spans="1:8" x14ac:dyDescent="0.35">
      <c r="A66">
        <v>57</v>
      </c>
      <c r="B66">
        <f t="shared" si="10"/>
        <v>28.5</v>
      </c>
      <c r="C66">
        <f t="shared" si="11"/>
        <v>15.624999719953731</v>
      </c>
      <c r="D66">
        <f t="shared" si="6"/>
        <v>1.8669751256084055E-7</v>
      </c>
      <c r="E66">
        <f t="shared" si="7"/>
        <v>15.624999813302487</v>
      </c>
      <c r="F66">
        <f t="shared" si="8"/>
        <v>1.2446499653151477E-7</v>
      </c>
      <c r="G66">
        <f t="shared" si="9"/>
        <v>15.624999797744358</v>
      </c>
      <c r="H66">
        <f>G66 - Euler_vB!E66</f>
        <v>-1.9896454261925101E-7</v>
      </c>
    </row>
    <row r="67" spans="1:8" x14ac:dyDescent="0.35">
      <c r="A67">
        <v>58</v>
      </c>
      <c r="B67">
        <f t="shared" si="10"/>
        <v>29</v>
      </c>
      <c r="C67">
        <f t="shared" si="11"/>
        <v>15.624999797744358</v>
      </c>
      <c r="D67">
        <f t="shared" si="6"/>
        <v>1.3483709437878133E-7</v>
      </c>
      <c r="E67">
        <f t="shared" si="7"/>
        <v>15.624999865162906</v>
      </c>
      <c r="F67">
        <f t="shared" si="8"/>
        <v>8.9891390331331422E-8</v>
      </c>
      <c r="G67">
        <f t="shared" si="9"/>
        <v>15.624999853926479</v>
      </c>
      <c r="H67">
        <f>G67 - Euler_vB!E67</f>
        <v>-1.4387945235228017E-7</v>
      </c>
    </row>
    <row r="68" spans="1:8" x14ac:dyDescent="0.35">
      <c r="A68">
        <v>59</v>
      </c>
      <c r="B68">
        <f t="shared" si="10"/>
        <v>29.5</v>
      </c>
      <c r="C68">
        <f t="shared" si="11"/>
        <v>15.624999853926479</v>
      </c>
      <c r="D68">
        <f t="shared" si="6"/>
        <v>9.7382347519214818E-8</v>
      </c>
      <c r="E68">
        <f t="shared" si="7"/>
        <v>15.624999902617652</v>
      </c>
      <c r="F68">
        <f t="shared" si="8"/>
        <v>6.4921565012809879E-8</v>
      </c>
      <c r="G68">
        <f t="shared" si="9"/>
        <v>15.624999894502457</v>
      </c>
      <c r="H68">
        <f>G68 - Euler_vB!E68</f>
        <v>-1.0403482875176451E-7</v>
      </c>
    </row>
    <row r="69" spans="1:8" x14ac:dyDescent="0.35">
      <c r="A69">
        <v>60</v>
      </c>
      <c r="B69">
        <f t="shared" si="10"/>
        <v>30</v>
      </c>
      <c r="C69">
        <f t="shared" si="11"/>
        <v>15.624999894502457</v>
      </c>
      <c r="D69">
        <f t="shared" si="6"/>
        <v>7.0331690693592464E-8</v>
      </c>
      <c r="E69">
        <f t="shared" si="7"/>
        <v>15.624999929668302</v>
      </c>
      <c r="F69">
        <f t="shared" si="8"/>
        <v>4.6887798532679881E-8</v>
      </c>
      <c r="G69">
        <f t="shared" si="9"/>
        <v>15.62499992380733</v>
      </c>
      <c r="H69">
        <f>G69 - Euler_vB!E69</f>
        <v>-7.5217522876869225E-8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zoomScale="70" workbookViewId="0">
      <pane ySplit="7" topLeftCell="A9" activePane="bottomLeft" state="frozen"/>
      <selection pane="bottomLeft"/>
    </sheetView>
  </sheetViews>
  <sheetFormatPr baseColWidth="10" defaultColWidth="8.7265625" defaultRowHeight="14.5" x14ac:dyDescent="0.35"/>
  <cols>
    <col min="1" max="11" width="18" customWidth="1"/>
  </cols>
  <sheetData>
    <row r="1" spans="1:6" x14ac:dyDescent="0.35">
      <c r="A1" t="s">
        <v>0</v>
      </c>
      <c r="B1" t="s">
        <v>1</v>
      </c>
      <c r="F1" t="s">
        <v>18</v>
      </c>
    </row>
    <row r="2" spans="1:6" x14ac:dyDescent="0.35">
      <c r="A2" t="s">
        <v>2</v>
      </c>
      <c r="B2">
        <v>5</v>
      </c>
      <c r="F2">
        <f>POWER($B$2/$B$3,3)</f>
        <v>15.625</v>
      </c>
    </row>
    <row r="3" spans="1:6" x14ac:dyDescent="0.35">
      <c r="A3" t="s">
        <v>3</v>
      </c>
      <c r="B3">
        <v>2</v>
      </c>
    </row>
    <row r="4" spans="1:6" x14ac:dyDescent="0.35">
      <c r="A4" t="s">
        <v>4</v>
      </c>
      <c r="B4">
        <v>0.5</v>
      </c>
    </row>
    <row r="5" spans="1:6" x14ac:dyDescent="0.35">
      <c r="A5" t="s">
        <v>5</v>
      </c>
      <c r="B5">
        <v>0.5</v>
      </c>
    </row>
    <row r="6" spans="1:6" x14ac:dyDescent="0.35">
      <c r="A6" t="s">
        <v>6</v>
      </c>
      <c r="B6" t="s">
        <v>7</v>
      </c>
    </row>
    <row r="8" spans="1:6" x14ac:dyDescent="0.35">
      <c r="A8" t="s">
        <v>8</v>
      </c>
      <c r="B8" t="s">
        <v>9</v>
      </c>
      <c r="C8" t="s">
        <v>19</v>
      </c>
      <c r="D8" t="s">
        <v>20</v>
      </c>
    </row>
    <row r="9" spans="1:6" x14ac:dyDescent="0.35">
      <c r="A9">
        <v>0</v>
      </c>
      <c r="B9">
        <v>0</v>
      </c>
      <c r="C9">
        <f t="shared" ref="C9:C40" si="0">POWER( ($B$2/$B$3) + (POWER($B$5,1/3) - ($B$2/$B$3)) * EXP( - $B$3 * B9 / 3 ), 3)</f>
        <v>0.49999999999999989</v>
      </c>
      <c r="D9" t="str">
        <f t="shared" ref="D9:D40" si="1">IF(B9=0,"w0 exact","")</f>
        <v>w0 exact</v>
      </c>
    </row>
    <row r="10" spans="1:6" x14ac:dyDescent="0.35">
      <c r="A10">
        <v>1</v>
      </c>
      <c r="B10">
        <f t="shared" ref="B10:B41" si="2">B9 + $B$4</f>
        <v>0.5</v>
      </c>
      <c r="C10">
        <f t="shared" si="0"/>
        <v>2.0843152107295784</v>
      </c>
      <c r="D10" t="str">
        <f t="shared" si="1"/>
        <v/>
      </c>
    </row>
    <row r="11" spans="1:6" x14ac:dyDescent="0.35">
      <c r="A11">
        <v>2</v>
      </c>
      <c r="B11">
        <f t="shared" si="2"/>
        <v>1</v>
      </c>
      <c r="C11">
        <f t="shared" si="0"/>
        <v>4.2827555620548496</v>
      </c>
      <c r="D11" t="str">
        <f t="shared" si="1"/>
        <v/>
      </c>
    </row>
    <row r="12" spans="1:6" x14ac:dyDescent="0.35">
      <c r="A12">
        <v>3</v>
      </c>
      <c r="B12">
        <f t="shared" si="2"/>
        <v>1.5</v>
      </c>
      <c r="C12">
        <f t="shared" si="0"/>
        <v>6.5632298752638647</v>
      </c>
      <c r="D12" t="str">
        <f t="shared" si="1"/>
        <v/>
      </c>
    </row>
    <row r="13" spans="1:6" x14ac:dyDescent="0.35">
      <c r="A13">
        <v>4</v>
      </c>
      <c r="B13">
        <f t="shared" si="2"/>
        <v>2</v>
      </c>
      <c r="C13">
        <f t="shared" si="0"/>
        <v>8.6179536998015553</v>
      </c>
      <c r="D13" t="str">
        <f t="shared" si="1"/>
        <v/>
      </c>
    </row>
    <row r="14" spans="1:6" x14ac:dyDescent="0.35">
      <c r="A14">
        <v>5</v>
      </c>
      <c r="B14">
        <f t="shared" si="2"/>
        <v>2.5</v>
      </c>
      <c r="C14">
        <f t="shared" si="0"/>
        <v>10.32778316190408</v>
      </c>
      <c r="D14" t="str">
        <f t="shared" si="1"/>
        <v/>
      </c>
    </row>
    <row r="15" spans="1:6" x14ac:dyDescent="0.35">
      <c r="A15">
        <v>6</v>
      </c>
      <c r="B15">
        <f t="shared" si="2"/>
        <v>3</v>
      </c>
      <c r="C15">
        <f t="shared" si="0"/>
        <v>11.682827794697335</v>
      </c>
      <c r="D15" t="str">
        <f t="shared" si="1"/>
        <v/>
      </c>
    </row>
    <row r="16" spans="1:6" x14ac:dyDescent="0.35">
      <c r="A16">
        <v>7</v>
      </c>
      <c r="B16">
        <f t="shared" si="2"/>
        <v>3.5</v>
      </c>
      <c r="C16">
        <f t="shared" si="0"/>
        <v>12.72337017559216</v>
      </c>
      <c r="D16" t="str">
        <f t="shared" si="1"/>
        <v/>
      </c>
    </row>
    <row r="17" spans="1:4" x14ac:dyDescent="0.35">
      <c r="A17">
        <v>8</v>
      </c>
      <c r="B17">
        <f t="shared" si="2"/>
        <v>4</v>
      </c>
      <c r="C17">
        <f t="shared" si="0"/>
        <v>13.505764225663038</v>
      </c>
      <c r="D17" t="str">
        <f t="shared" si="1"/>
        <v/>
      </c>
    </row>
    <row r="18" spans="1:4" x14ac:dyDescent="0.35">
      <c r="A18">
        <v>9</v>
      </c>
      <c r="B18">
        <f t="shared" si="2"/>
        <v>4.5</v>
      </c>
      <c r="C18">
        <f t="shared" si="0"/>
        <v>14.085669381214011</v>
      </c>
      <c r="D18" t="str">
        <f t="shared" si="1"/>
        <v/>
      </c>
    </row>
    <row r="19" spans="1:4" x14ac:dyDescent="0.35">
      <c r="A19">
        <v>10</v>
      </c>
      <c r="B19">
        <f t="shared" si="2"/>
        <v>5</v>
      </c>
      <c r="C19">
        <f t="shared" si="0"/>
        <v>14.511241432742152</v>
      </c>
      <c r="D19" t="str">
        <f t="shared" si="1"/>
        <v/>
      </c>
    </row>
    <row r="20" spans="1:4" x14ac:dyDescent="0.35">
      <c r="A20">
        <v>11</v>
      </c>
      <c r="B20">
        <f t="shared" si="2"/>
        <v>5.5</v>
      </c>
      <c r="C20">
        <f t="shared" si="0"/>
        <v>14.821391378285281</v>
      </c>
      <c r="D20" t="str">
        <f t="shared" si="1"/>
        <v/>
      </c>
    </row>
    <row r="21" spans="1:4" x14ac:dyDescent="0.35">
      <c r="A21">
        <v>12</v>
      </c>
      <c r="B21">
        <f t="shared" si="2"/>
        <v>6</v>
      </c>
      <c r="C21">
        <f t="shared" si="0"/>
        <v>15.046320272748767</v>
      </c>
      <c r="D21" t="str">
        <f t="shared" si="1"/>
        <v/>
      </c>
    </row>
    <row r="22" spans="1:4" x14ac:dyDescent="0.35">
      <c r="A22">
        <v>13</v>
      </c>
      <c r="B22">
        <f t="shared" si="2"/>
        <v>6.5</v>
      </c>
      <c r="C22">
        <f t="shared" si="0"/>
        <v>15.208880658784741</v>
      </c>
      <c r="D22" t="str">
        <f t="shared" si="1"/>
        <v/>
      </c>
    </row>
    <row r="23" spans="1:4" x14ac:dyDescent="0.35">
      <c r="A23">
        <v>14</v>
      </c>
      <c r="B23">
        <f t="shared" si="2"/>
        <v>7</v>
      </c>
      <c r="C23">
        <f t="shared" si="0"/>
        <v>15.326077495607297</v>
      </c>
      <c r="D23" t="str">
        <f t="shared" si="1"/>
        <v/>
      </c>
    </row>
    <row r="24" spans="1:4" x14ac:dyDescent="0.35">
      <c r="A24">
        <v>15</v>
      </c>
      <c r="B24">
        <f t="shared" si="2"/>
        <v>7.5</v>
      </c>
      <c r="C24">
        <f t="shared" si="0"/>
        <v>15.410421916078052</v>
      </c>
      <c r="D24" t="str">
        <f t="shared" si="1"/>
        <v/>
      </c>
    </row>
    <row r="25" spans="1:4" x14ac:dyDescent="0.35">
      <c r="A25">
        <v>16</v>
      </c>
      <c r="B25">
        <f t="shared" si="2"/>
        <v>8</v>
      </c>
      <c r="C25">
        <f t="shared" si="0"/>
        <v>15.471047256912549</v>
      </c>
      <c r="D25" t="str">
        <f t="shared" si="1"/>
        <v/>
      </c>
    </row>
    <row r="26" spans="1:4" x14ac:dyDescent="0.35">
      <c r="A26">
        <v>17</v>
      </c>
      <c r="B26">
        <f t="shared" si="2"/>
        <v>8.5</v>
      </c>
      <c r="C26">
        <f t="shared" si="0"/>
        <v>15.514584853895897</v>
      </c>
      <c r="D26" t="str">
        <f t="shared" si="1"/>
        <v/>
      </c>
    </row>
    <row r="27" spans="1:4" x14ac:dyDescent="0.35">
      <c r="A27">
        <v>18</v>
      </c>
      <c r="B27">
        <f t="shared" si="2"/>
        <v>9</v>
      </c>
      <c r="C27">
        <f t="shared" si="0"/>
        <v>15.545831085170796</v>
      </c>
      <c r="D27" t="str">
        <f t="shared" si="1"/>
        <v/>
      </c>
    </row>
    <row r="28" spans="1:4" x14ac:dyDescent="0.35">
      <c r="A28">
        <v>19</v>
      </c>
      <c r="B28">
        <f t="shared" si="2"/>
        <v>9.5</v>
      </c>
      <c r="C28">
        <f t="shared" si="0"/>
        <v>15.568245769341994</v>
      </c>
      <c r="D28" t="str">
        <f t="shared" si="1"/>
        <v/>
      </c>
    </row>
    <row r="29" spans="1:4" x14ac:dyDescent="0.35">
      <c r="A29">
        <v>20</v>
      </c>
      <c r="B29">
        <f t="shared" si="2"/>
        <v>10</v>
      </c>
      <c r="C29">
        <f t="shared" si="0"/>
        <v>15.584319835435055</v>
      </c>
      <c r="D29" t="str">
        <f t="shared" si="1"/>
        <v/>
      </c>
    </row>
    <row r="30" spans="1:4" x14ac:dyDescent="0.35">
      <c r="A30">
        <v>21</v>
      </c>
      <c r="B30">
        <f t="shared" si="2"/>
        <v>10.5</v>
      </c>
      <c r="C30">
        <f t="shared" si="0"/>
        <v>15.595844208723456</v>
      </c>
      <c r="D30" t="str">
        <f t="shared" si="1"/>
        <v/>
      </c>
    </row>
    <row r="31" spans="1:4" x14ac:dyDescent="0.35">
      <c r="A31">
        <v>22</v>
      </c>
      <c r="B31">
        <f t="shared" si="2"/>
        <v>11</v>
      </c>
      <c r="C31">
        <f t="shared" si="0"/>
        <v>15.604105275992836</v>
      </c>
      <c r="D31" t="str">
        <f t="shared" si="1"/>
        <v/>
      </c>
    </row>
    <row r="32" spans="1:4" x14ac:dyDescent="0.35">
      <c r="A32">
        <v>23</v>
      </c>
      <c r="B32">
        <f t="shared" si="2"/>
        <v>11.5</v>
      </c>
      <c r="C32">
        <f t="shared" si="0"/>
        <v>15.610026383030911</v>
      </c>
      <c r="D32" t="str">
        <f t="shared" si="1"/>
        <v/>
      </c>
    </row>
    <row r="33" spans="1:4" x14ac:dyDescent="0.35">
      <c r="A33">
        <v>24</v>
      </c>
      <c r="B33">
        <f t="shared" si="2"/>
        <v>12</v>
      </c>
      <c r="C33">
        <f t="shared" si="0"/>
        <v>15.614269962644217</v>
      </c>
      <c r="D33" t="str">
        <f t="shared" si="1"/>
        <v/>
      </c>
    </row>
    <row r="34" spans="1:4" x14ac:dyDescent="0.35">
      <c r="A34">
        <v>25</v>
      </c>
      <c r="B34">
        <f t="shared" si="2"/>
        <v>12.5</v>
      </c>
      <c r="C34">
        <f t="shared" si="0"/>
        <v>15.617311093221669</v>
      </c>
      <c r="D34" t="str">
        <f t="shared" si="1"/>
        <v/>
      </c>
    </row>
    <row r="35" spans="1:4" x14ac:dyDescent="0.35">
      <c r="A35">
        <v>26</v>
      </c>
      <c r="B35">
        <f t="shared" si="2"/>
        <v>13</v>
      </c>
      <c r="C35">
        <f t="shared" si="0"/>
        <v>15.619490401319286</v>
      </c>
      <c r="D35" t="str">
        <f t="shared" si="1"/>
        <v/>
      </c>
    </row>
    <row r="36" spans="1:4" x14ac:dyDescent="0.35">
      <c r="A36">
        <v>27</v>
      </c>
      <c r="B36">
        <f t="shared" si="2"/>
        <v>13.5</v>
      </c>
      <c r="C36">
        <f t="shared" si="0"/>
        <v>15.621052068480221</v>
      </c>
      <c r="D36" t="str">
        <f t="shared" si="1"/>
        <v/>
      </c>
    </row>
    <row r="37" spans="1:4" x14ac:dyDescent="0.35">
      <c r="A37">
        <v>28</v>
      </c>
      <c r="B37">
        <f t="shared" si="2"/>
        <v>14</v>
      </c>
      <c r="C37">
        <f t="shared" si="0"/>
        <v>15.622171115909508</v>
      </c>
      <c r="D37" t="str">
        <f t="shared" si="1"/>
        <v/>
      </c>
    </row>
    <row r="38" spans="1:4" x14ac:dyDescent="0.35">
      <c r="A38">
        <v>29</v>
      </c>
      <c r="B38">
        <f t="shared" si="2"/>
        <v>14.5</v>
      </c>
      <c r="C38">
        <f t="shared" si="0"/>
        <v>15.622972981296165</v>
      </c>
      <c r="D38" t="str">
        <f t="shared" si="1"/>
        <v/>
      </c>
    </row>
    <row r="39" spans="1:4" x14ac:dyDescent="0.35">
      <c r="A39">
        <v>30</v>
      </c>
      <c r="B39">
        <f t="shared" si="2"/>
        <v>15</v>
      </c>
      <c r="C39">
        <f t="shared" si="0"/>
        <v>15.62354755982661</v>
      </c>
      <c r="D39" t="str">
        <f t="shared" si="1"/>
        <v/>
      </c>
    </row>
    <row r="40" spans="1:4" x14ac:dyDescent="0.35">
      <c r="A40">
        <v>31</v>
      </c>
      <c r="B40">
        <f t="shared" si="2"/>
        <v>15.5</v>
      </c>
      <c r="C40">
        <f t="shared" si="0"/>
        <v>15.623959271997585</v>
      </c>
      <c r="D40" t="str">
        <f t="shared" si="1"/>
        <v/>
      </c>
    </row>
    <row r="41" spans="1:4" x14ac:dyDescent="0.35">
      <c r="A41">
        <v>32</v>
      </c>
      <c r="B41">
        <f t="shared" si="2"/>
        <v>16</v>
      </c>
      <c r="C41">
        <f t="shared" ref="C41:C72" si="3">POWER( ($B$2/$B$3) + (POWER($B$5,1/3) - ($B$2/$B$3)) * EXP( - $B$3 * B41 / 3 ), 3)</f>
        <v>15.624254281107088</v>
      </c>
      <c r="D41" t="str">
        <f t="shared" ref="D41:D69" si="4">IF(B41=0,"w0 exact","")</f>
        <v/>
      </c>
    </row>
    <row r="42" spans="1:4" x14ac:dyDescent="0.35">
      <c r="A42">
        <v>33</v>
      </c>
      <c r="B42">
        <f t="shared" ref="B42:B69" si="5">B41 + $B$4</f>
        <v>16.5</v>
      </c>
      <c r="C42">
        <f t="shared" si="3"/>
        <v>15.624465666654659</v>
      </c>
      <c r="D42" t="str">
        <f t="shared" si="4"/>
        <v/>
      </c>
    </row>
    <row r="43" spans="1:4" x14ac:dyDescent="0.35">
      <c r="A43">
        <v>34</v>
      </c>
      <c r="B43">
        <f t="shared" si="5"/>
        <v>17</v>
      </c>
      <c r="C43">
        <f t="shared" si="3"/>
        <v>15.624617132190611</v>
      </c>
      <c r="D43" t="str">
        <f t="shared" si="4"/>
        <v/>
      </c>
    </row>
    <row r="44" spans="1:4" x14ac:dyDescent="0.35">
      <c r="A44">
        <v>35</v>
      </c>
      <c r="B44">
        <f t="shared" si="5"/>
        <v>17.5</v>
      </c>
      <c r="C44">
        <f t="shared" si="3"/>
        <v>15.624725662591569</v>
      </c>
      <c r="D44" t="str">
        <f t="shared" si="4"/>
        <v/>
      </c>
    </row>
    <row r="45" spans="1:4" x14ac:dyDescent="0.35">
      <c r="A45">
        <v>36</v>
      </c>
      <c r="B45">
        <f t="shared" si="5"/>
        <v>18</v>
      </c>
      <c r="C45">
        <f t="shared" si="3"/>
        <v>15.624803428331084</v>
      </c>
      <c r="D45" t="str">
        <f t="shared" si="4"/>
        <v/>
      </c>
    </row>
    <row r="46" spans="1:4" x14ac:dyDescent="0.35">
      <c r="A46">
        <v>37</v>
      </c>
      <c r="B46">
        <f t="shared" si="5"/>
        <v>18.5</v>
      </c>
      <c r="C46">
        <f t="shared" si="3"/>
        <v>15.624859150077018</v>
      </c>
      <c r="D46" t="str">
        <f t="shared" si="4"/>
        <v/>
      </c>
    </row>
    <row r="47" spans="1:4" x14ac:dyDescent="0.35">
      <c r="A47">
        <v>38</v>
      </c>
      <c r="B47">
        <f t="shared" si="5"/>
        <v>19</v>
      </c>
      <c r="C47">
        <f t="shared" si="3"/>
        <v>15.624899076534122</v>
      </c>
      <c r="D47" t="str">
        <f t="shared" si="4"/>
        <v/>
      </c>
    </row>
    <row r="48" spans="1:4" x14ac:dyDescent="0.35">
      <c r="A48">
        <v>39</v>
      </c>
      <c r="B48">
        <f t="shared" si="5"/>
        <v>19.5</v>
      </c>
      <c r="C48">
        <f t="shared" si="3"/>
        <v>15.624927685132597</v>
      </c>
      <c r="D48" t="str">
        <f t="shared" si="4"/>
        <v/>
      </c>
    </row>
    <row r="49" spans="1:4" x14ac:dyDescent="0.35">
      <c r="A49">
        <v>40</v>
      </c>
      <c r="B49">
        <f t="shared" si="5"/>
        <v>20</v>
      </c>
      <c r="C49">
        <f t="shared" si="3"/>
        <v>15.624948184110629</v>
      </c>
      <c r="D49" t="str">
        <f t="shared" si="4"/>
        <v/>
      </c>
    </row>
    <row r="50" spans="1:4" x14ac:dyDescent="0.35">
      <c r="A50">
        <v>41</v>
      </c>
      <c r="B50">
        <f t="shared" si="5"/>
        <v>20.5</v>
      </c>
      <c r="C50">
        <f t="shared" si="3"/>
        <v>15.624962872281239</v>
      </c>
      <c r="D50" t="str">
        <f t="shared" si="4"/>
        <v/>
      </c>
    </row>
    <row r="51" spans="1:4" x14ac:dyDescent="0.35">
      <c r="A51">
        <v>42</v>
      </c>
      <c r="B51">
        <f t="shared" si="5"/>
        <v>21</v>
      </c>
      <c r="C51">
        <f t="shared" si="3"/>
        <v>15.624973396821051</v>
      </c>
      <c r="D51" t="str">
        <f t="shared" si="4"/>
        <v/>
      </c>
    </row>
    <row r="52" spans="1:4" x14ac:dyDescent="0.35">
      <c r="A52">
        <v>43</v>
      </c>
      <c r="B52">
        <f t="shared" si="5"/>
        <v>21.5</v>
      </c>
      <c r="C52">
        <f t="shared" si="3"/>
        <v>15.624980937986258</v>
      </c>
      <c r="D52" t="str">
        <f t="shared" si="4"/>
        <v/>
      </c>
    </row>
    <row r="53" spans="1:4" x14ac:dyDescent="0.35">
      <c r="A53">
        <v>44</v>
      </c>
      <c r="B53">
        <f t="shared" si="5"/>
        <v>22</v>
      </c>
      <c r="C53">
        <f t="shared" si="3"/>
        <v>15.624986341468736</v>
      </c>
      <c r="D53" t="str">
        <f t="shared" si="4"/>
        <v/>
      </c>
    </row>
    <row r="54" spans="1:4" x14ac:dyDescent="0.35">
      <c r="A54">
        <v>45</v>
      </c>
      <c r="B54">
        <f t="shared" si="5"/>
        <v>22.5</v>
      </c>
      <c r="C54">
        <f t="shared" si="3"/>
        <v>15.624990213233881</v>
      </c>
      <c r="D54" t="str">
        <f t="shared" si="4"/>
        <v/>
      </c>
    </row>
    <row r="55" spans="1:4" x14ac:dyDescent="0.35">
      <c r="A55">
        <v>46</v>
      </c>
      <c r="B55">
        <f t="shared" si="5"/>
        <v>23</v>
      </c>
      <c r="C55">
        <f t="shared" si="3"/>
        <v>15.624992987475231</v>
      </c>
      <c r="D55" t="str">
        <f t="shared" si="4"/>
        <v/>
      </c>
    </row>
    <row r="56" spans="1:4" x14ac:dyDescent="0.35">
      <c r="A56">
        <v>47</v>
      </c>
      <c r="B56">
        <f t="shared" si="5"/>
        <v>23.5</v>
      </c>
      <c r="C56">
        <f t="shared" si="3"/>
        <v>15.624994975306228</v>
      </c>
      <c r="D56" t="str">
        <f t="shared" si="4"/>
        <v/>
      </c>
    </row>
    <row r="57" spans="1:4" x14ac:dyDescent="0.35">
      <c r="A57">
        <v>48</v>
      </c>
      <c r="B57">
        <f t="shared" si="5"/>
        <v>24</v>
      </c>
      <c r="C57">
        <f t="shared" si="3"/>
        <v>15.624996399649477</v>
      </c>
      <c r="D57" t="str">
        <f t="shared" si="4"/>
        <v/>
      </c>
    </row>
    <row r="58" spans="1:4" x14ac:dyDescent="0.35">
      <c r="A58">
        <v>49</v>
      </c>
      <c r="B58">
        <f t="shared" si="5"/>
        <v>24.5</v>
      </c>
      <c r="C58">
        <f t="shared" si="3"/>
        <v>15.624997420236065</v>
      </c>
      <c r="D58" t="str">
        <f t="shared" si="4"/>
        <v/>
      </c>
    </row>
    <row r="59" spans="1:4" x14ac:dyDescent="0.35">
      <c r="A59">
        <v>50</v>
      </c>
      <c r="B59">
        <f t="shared" si="5"/>
        <v>25</v>
      </c>
      <c r="C59">
        <f t="shared" si="3"/>
        <v>15.624998151518339</v>
      </c>
      <c r="D59" t="str">
        <f t="shared" si="4"/>
        <v/>
      </c>
    </row>
    <row r="60" spans="1:4" x14ac:dyDescent="0.35">
      <c r="A60">
        <v>51</v>
      </c>
      <c r="B60">
        <f t="shared" si="5"/>
        <v>25.5</v>
      </c>
      <c r="C60">
        <f t="shared" si="3"/>
        <v>15.624998675504999</v>
      </c>
      <c r="D60" t="str">
        <f t="shared" si="4"/>
        <v/>
      </c>
    </row>
    <row r="61" spans="1:4" x14ac:dyDescent="0.35">
      <c r="A61">
        <v>52</v>
      </c>
      <c r="B61">
        <f t="shared" si="5"/>
        <v>26</v>
      </c>
      <c r="C61">
        <f t="shared" si="3"/>
        <v>15.624999050957848</v>
      </c>
      <c r="D61" t="str">
        <f t="shared" si="4"/>
        <v/>
      </c>
    </row>
    <row r="62" spans="1:4" x14ac:dyDescent="0.35">
      <c r="A62">
        <v>53</v>
      </c>
      <c r="B62">
        <f t="shared" si="5"/>
        <v>26.5</v>
      </c>
      <c r="C62">
        <f t="shared" si="3"/>
        <v>15.624999319981583</v>
      </c>
      <c r="D62" t="str">
        <f t="shared" si="4"/>
        <v/>
      </c>
    </row>
    <row r="63" spans="1:4" x14ac:dyDescent="0.35">
      <c r="A63">
        <v>54</v>
      </c>
      <c r="B63">
        <f t="shared" si="5"/>
        <v>27</v>
      </c>
      <c r="C63">
        <f t="shared" si="3"/>
        <v>15.624999512745509</v>
      </c>
      <c r="D63" t="str">
        <f t="shared" si="4"/>
        <v/>
      </c>
    </row>
    <row r="64" spans="1:4" x14ac:dyDescent="0.35">
      <c r="A64">
        <v>55</v>
      </c>
      <c r="B64">
        <f t="shared" si="5"/>
        <v>27.5</v>
      </c>
      <c r="C64">
        <f t="shared" si="3"/>
        <v>15.624999650866895</v>
      </c>
      <c r="D64" t="str">
        <f t="shared" si="4"/>
        <v/>
      </c>
    </row>
    <row r="65" spans="1:4" x14ac:dyDescent="0.35">
      <c r="A65">
        <v>56</v>
      </c>
      <c r="B65">
        <f t="shared" si="5"/>
        <v>28</v>
      </c>
      <c r="C65">
        <f t="shared" si="3"/>
        <v>15.624999749835204</v>
      </c>
      <c r="D65" t="str">
        <f t="shared" si="4"/>
        <v/>
      </c>
    </row>
    <row r="66" spans="1:4" x14ac:dyDescent="0.35">
      <c r="A66">
        <v>57</v>
      </c>
      <c r="B66">
        <f t="shared" si="5"/>
        <v>28.5</v>
      </c>
      <c r="C66">
        <f t="shared" si="3"/>
        <v>15.624999820749087</v>
      </c>
      <c r="D66" t="str">
        <f t="shared" si="4"/>
        <v/>
      </c>
    </row>
    <row r="67" spans="1:4" x14ac:dyDescent="0.35">
      <c r="A67">
        <v>58</v>
      </c>
      <c r="B67">
        <f t="shared" si="5"/>
        <v>29</v>
      </c>
      <c r="C67">
        <f t="shared" si="3"/>
        <v>15.624999871561107</v>
      </c>
      <c r="D67" t="str">
        <f t="shared" si="4"/>
        <v/>
      </c>
    </row>
    <row r="68" spans="1:4" x14ac:dyDescent="0.35">
      <c r="A68">
        <v>59</v>
      </c>
      <c r="B68">
        <f t="shared" si="5"/>
        <v>29.5</v>
      </c>
      <c r="C68">
        <f t="shared" si="3"/>
        <v>15.624999907969517</v>
      </c>
      <c r="D68" t="str">
        <f t="shared" si="4"/>
        <v/>
      </c>
    </row>
    <row r="69" spans="1:4" x14ac:dyDescent="0.35">
      <c r="A69">
        <v>60</v>
      </c>
      <c r="B69">
        <f t="shared" si="5"/>
        <v>30</v>
      </c>
      <c r="C69">
        <f t="shared" si="3"/>
        <v>15.624999934057275</v>
      </c>
      <c r="D69" t="str">
        <f t="shared" si="4"/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Euler_vB</vt:lpstr>
      <vt:lpstr>Heun_vB</vt:lpstr>
      <vt:lpstr>Exacto_vB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Canaviri</cp:lastModifiedBy>
  <dcterms:created xsi:type="dcterms:W3CDTF">2025-12-04T11:56:23Z</dcterms:created>
  <dcterms:modified xsi:type="dcterms:W3CDTF">2025-12-04T12:11:29Z</dcterms:modified>
</cp:coreProperties>
</file>